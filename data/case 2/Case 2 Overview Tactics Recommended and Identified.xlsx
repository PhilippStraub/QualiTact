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2\"/>
    </mc:Choice>
  </mc:AlternateContent>
  <xr:revisionPtr revIDLastSave="0" documentId="13_ncr:1_{4BCA07E4-E70E-4E0F-A7AD-1DBCDEF5A598}" xr6:coauthVersionLast="47" xr6:coauthVersionMax="47" xr10:uidLastSave="{00000000-0000-0000-0000-000000000000}"/>
  <bookViews>
    <workbookView xWindow="-108" yWindow="-108" windowWidth="41496" windowHeight="16776" xr2:uid="{DDA3D4E1-388A-4D9E-A9D9-BC5D2DC736E7}"/>
  </bookViews>
  <sheets>
    <sheet name="QualityAttributes" sheetId="6" r:id="rId1"/>
    <sheet name="Recommended Tactics (score0.06)" sheetId="4" r:id="rId2"/>
    <sheet name="Identified Tactics Interview" sheetId="2" r:id="rId3"/>
    <sheet name="Identified Tactics Source Code" sheetId="3" r:id="rId4"/>
    <sheet name="Metrics" sheetId="7" r:id="rId5"/>
    <sheet name="tactics known but uniden" sheetId="9" r:id="rId6"/>
    <sheet name="scores" sheetId="10" r:id="rId7"/>
  </sheets>
  <definedNames>
    <definedName name="_xlnm._FilterDatabase" localSheetId="2" hidden="1">'Identified Tactics Interview'!$A$1:$D$26</definedName>
    <definedName name="_xlnm._FilterDatabase" localSheetId="3" hidden="1">'Identified Tactics Source Code'!$A$1:$K$46</definedName>
    <definedName name="_xlnm._FilterDatabase" localSheetId="0" hidden="1">QualityAttributes!$A$1:$S$57</definedName>
    <definedName name="_xlnm._FilterDatabase" localSheetId="6" hidden="1">scores!$A$1:$Q$5101</definedName>
    <definedName name="_xlnm._FilterDatabase" localSheetId="5" hidden="1">'tactics known but uniden'!$A$1:$A$17</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15" i="7"/>
  <c r="K14" i="7"/>
  <c r="K11" i="7"/>
  <c r="K8" i="7" s="1"/>
  <c r="K12" i="7" s="1"/>
  <c r="K9" i="7"/>
  <c r="K10" i="7" l="1"/>
  <c r="K16" i="7"/>
  <c r="E42" i="6"/>
  <c r="E36" i="6"/>
  <c r="E29" i="6"/>
  <c r="E23" i="6"/>
  <c r="E14" i="6"/>
  <c r="E11" i="6"/>
  <c r="E7" i="6"/>
  <c r="E2" i="6"/>
  <c r="L12" i="6"/>
</calcChain>
</file>

<file path=xl/sharedStrings.xml><?xml version="1.0" encoding="utf-8"?>
<sst xmlns="http://schemas.openxmlformats.org/spreadsheetml/2006/main" count="10668" uniqueCount="365">
  <si>
    <t>Adversarial_training</t>
  </si>
  <si>
    <t>Quantization</t>
  </si>
  <si>
    <t>External_computational_offloading</t>
  </si>
  <si>
    <t>Pruning</t>
  </si>
  <si>
    <t>Sensor_or_input_data_fusion</t>
  </si>
  <si>
    <t>Containerization</t>
  </si>
  <si>
    <t>Edge_compute_hardware</t>
  </si>
  <si>
    <t>Closed-loop_learning</t>
  </si>
  <si>
    <t>Test_time_adaption</t>
  </si>
  <si>
    <t>Sparsification</t>
  </si>
  <si>
    <t>Name</t>
  </si>
  <si>
    <t>New Tactic?</t>
  </si>
  <si>
    <t>Yes</t>
  </si>
  <si>
    <t>No</t>
  </si>
  <si>
    <t>Tensor_or_matrix_decomposition</t>
  </si>
  <si>
    <t>Binary_weights_and_activations</t>
  </si>
  <si>
    <t>Depth_adjustment</t>
  </si>
  <si>
    <t>Transfer_learning</t>
  </si>
  <si>
    <t>Ternary_weights_and_activations_2-bit</t>
  </si>
  <si>
    <t>Mixed-precision_compression</t>
  </si>
  <si>
    <t>New_or_specific_layer_module</t>
  </si>
  <si>
    <t>Hardware_and_Software_codesign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</si>
  <si>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</si>
  <si>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</si>
  <si>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</si>
  <si>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</si>
  <si>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</si>
  <si>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</si>
  <si>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</si>
  <si>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</si>
  <si>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</si>
  <si>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</si>
  <si>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</si>
  <si>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</si>
  <si>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</si>
  <si>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</si>
  <si>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</si>
  <si>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</si>
  <si>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</si>
  <si>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</si>
  <si>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</si>
  <si>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</si>
  <si>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</si>
  <si>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</si>
  <si>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</si>
  <si>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</si>
  <si>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</si>
  <si>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</si>
  <si>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</si>
  <si>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</si>
  <si>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</si>
  <si>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</si>
  <si>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</si>
  <si>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</si>
  <si>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</si>
  <si>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</si>
  <si>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</si>
  <si>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</si>
  <si>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</si>
  <si>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</si>
  <si>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</si>
  <si>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</si>
  <si>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</si>
  <si>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</si>
  <si>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</si>
  <si>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N/A</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</si>
  <si>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</si>
  <si>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</si>
  <si>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</si>
  <si>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</si>
  <si>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</si>
  <si>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</si>
  <si>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</si>
  <si>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</si>
  <si>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</si>
  <si>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</si>
  <si>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</si>
  <si>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</si>
  <si>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</si>
  <si>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</si>
  <si>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</si>
  <si>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</si>
  <si>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</si>
  <si>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</si>
  <si>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</si>
  <si>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</si>
  <si>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</si>
  <si>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</si>
  <si>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</si>
  <si>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</si>
  <si>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</si>
  <si>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</si>
  <si>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</si>
  <si>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</si>
  <si>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</si>
  <si>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</si>
  <si>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</si>
  <si>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</si>
  <si>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</si>
  <si>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</si>
  <si>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</si>
  <si>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</si>
  <si>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</si>
  <si>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</si>
  <si>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</si>
  <si>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</si>
  <si>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</si>
  <si>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</si>
  <si>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</si>
  <si>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</si>
  <si>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</si>
  <si>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</si>
  <si>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</si>
  <si>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</si>
  <si>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</si>
  <si>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</si>
  <si>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</si>
  <si>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Degree to which a product under defined conditions to avoid a state in which human life, health, property, or the environment is endangered.</t>
  </si>
  <si>
    <t>Resiliency</t>
  </si>
  <si>
    <t>Indenpendency</t>
  </si>
  <si>
    <t>Interpretability</t>
  </si>
  <si>
    <t xml:space="preserve">Verifiability </t>
  </si>
  <si>
    <t>Lightweight</t>
  </si>
  <si>
    <t>small (physically)</t>
  </si>
  <si>
    <t>Training performance efficiency</t>
  </si>
  <si>
    <t>Flexibility</t>
  </si>
  <si>
    <t>Degree to which a product can be adapted to changes in its requirements, contexts of use or system environment</t>
  </si>
  <si>
    <t>Scalability</t>
  </si>
  <si>
    <t>Degree to which a product can handle growing or shrinking workloads or to adapt its capacity to handle variability.</t>
  </si>
  <si>
    <t>Fairness</t>
  </si>
  <si>
    <t>Explainability</t>
  </si>
  <si>
    <t>Available at QualiTact?</t>
  </si>
  <si>
    <t>Available Quality Attributes for Tactic Recommendation</t>
  </si>
  <si>
    <t>Task-level_parallelism_on_CNN_layer-level</t>
  </si>
  <si>
    <t>TPU_SoC_or_Accelerator_Hardware_</t>
  </si>
  <si>
    <t>Multi-model_of_different_models</t>
  </si>
  <si>
    <t>Partial_layer_execution</t>
  </si>
  <si>
    <t>Deadline-aware_scheduling</t>
  </si>
  <si>
    <t>Modular_system_design</t>
  </si>
  <si>
    <t>Early-exit_inference</t>
  </si>
  <si>
    <t>Feature_encoding</t>
  </si>
  <si>
    <t>Out-of-distribution_detection</t>
  </si>
  <si>
    <t>Input_resolution_adjustment</t>
  </si>
  <si>
    <t>Heuristics-driven_augmentation</t>
  </si>
  <si>
    <t>Training_with_adversarial_noise</t>
  </si>
  <si>
    <t>Multitask_Scheduling</t>
  </si>
  <si>
    <t>Concurrent_processing_hardware</t>
  </si>
  <si>
    <t>Pretraining</t>
  </si>
  <si>
    <t>Denoising</t>
  </si>
  <si>
    <t>Input_modification</t>
  </si>
  <si>
    <t>Robust_feature_extraction</t>
  </si>
  <si>
    <t>Training_with_unlabed_data</t>
  </si>
  <si>
    <t>Light communication protocol usage</t>
  </si>
  <si>
    <t>Modular system design</t>
  </si>
  <si>
    <t>Asynchronous Communication</t>
  </si>
  <si>
    <t>Separation of  configuration and code</t>
  </si>
  <si>
    <t>Heartbeat</t>
  </si>
  <si>
    <t>Multi Threading</t>
  </si>
  <si>
    <t>Event Documentation</t>
  </si>
  <si>
    <t>Metric Documentation</t>
  </si>
  <si>
    <t>State Documentation</t>
  </si>
  <si>
    <t>State Serialization</t>
  </si>
  <si>
    <t>Interface Declarative Data Modeling</t>
  </si>
  <si>
    <t>Interface Segregation</t>
  </si>
  <si>
    <t>Background Queue</t>
  </si>
  <si>
    <t>Queue with data  limitation</t>
  </si>
  <si>
    <t>Queue with data limitation</t>
  </si>
  <si>
    <t>Buffering</t>
  </si>
  <si>
    <t>Sensor or input data fusion</t>
  </si>
  <si>
    <t>Frame rate reduction</t>
  </si>
  <si>
    <t>Single task assignment</t>
  </si>
  <si>
    <t>Separation of Concerns</t>
  </si>
  <si>
    <t>Concurrent processing hardware</t>
  </si>
  <si>
    <t>Robust feature extraction</t>
  </si>
  <si>
    <t>Event-based processing</t>
  </si>
  <si>
    <t>Input spatial partitioning</t>
  </si>
  <si>
    <t>External Dependency Reduction</t>
  </si>
  <si>
    <t>Edge Compute Hardware</t>
  </si>
  <si>
    <t>Hardware Simulation</t>
  </si>
  <si>
    <t>Classification Documentation</t>
  </si>
  <si>
    <t>Centralized Configuration</t>
  </si>
  <si>
    <t>Error Documentation</t>
  </si>
  <si>
    <t>User-Controlled System Reset</t>
  </si>
  <si>
    <t>UI convention usage</t>
  </si>
  <si>
    <t>State-Based Decision Making</t>
  </si>
  <si>
    <t>Failure prevention and mitigation</t>
  </si>
  <si>
    <t>Lightweight Framework Usage</t>
  </si>
  <si>
    <t>System documentation provisioning</t>
  </si>
  <si>
    <t>Explicit interfaces</t>
  </si>
  <si>
    <t>Mutual Exclusion</t>
  </si>
  <si>
    <t>Input modification</t>
  </si>
  <si>
    <t>Rule-based decision making</t>
  </si>
  <si>
    <t>Lazy Loading</t>
  </si>
  <si>
    <t>Pull-based processing</t>
  </si>
  <si>
    <t>Hardware and Software codesign</t>
  </si>
  <si>
    <t>Light communication
protocol usage</t>
  </si>
  <si>
    <t>Long-running automatic testing</t>
  </si>
  <si>
    <t>User-in-the-loop</t>
  </si>
  <si>
    <t>Test time adaption</t>
  </si>
  <si>
    <t>Asynchronous communication</t>
  </si>
  <si>
    <t>Internal interface abstraction</t>
  </si>
  <si>
    <t>Edge compute hardware</t>
  </si>
  <si>
    <t>In Interview identified?</t>
  </si>
  <si>
    <t>In Source Code identified?</t>
  </si>
  <si>
    <t>Total applied Tactics</t>
  </si>
  <si>
    <t>Unconsciously applied (num)</t>
  </si>
  <si>
    <t>Unconsciously applied (percent)</t>
  </si>
  <si>
    <t>Unmeasureable (num)</t>
  </si>
  <si>
    <t>Unmeasureable (percent)</t>
  </si>
  <si>
    <t>Completeness Recommendations (on Source Code)</t>
  </si>
  <si>
    <t>Completeness Model perception</t>
  </si>
  <si>
    <t>Completeness considering Quality-Attribute Knowledge (on Source Code)</t>
  </si>
  <si>
    <t>Automatic retraining and deployment triggering</t>
  </si>
  <si>
    <t>Deadline-aware scheduling</t>
  </si>
  <si>
    <t>Input resolution adjustment</t>
  </si>
  <si>
    <t>Network combination</t>
  </si>
  <si>
    <t>Normalization</t>
  </si>
  <si>
    <t>Post-processing</t>
  </si>
  <si>
    <t>Regularization</t>
  </si>
  <si>
    <t>Specific model type selection</t>
  </si>
  <si>
    <t xml:space="preserve">TPU SoC or Accelerator Hardware </t>
  </si>
  <si>
    <t>Training loss function selection or adaptation</t>
  </si>
  <si>
    <t>Width adjustment</t>
  </si>
  <si>
    <t>QA</t>
  </si>
  <si>
    <t>Tactic</t>
  </si>
  <si>
    <t>a</t>
  </si>
  <si>
    <t>b</t>
  </si>
  <si>
    <t>c</t>
  </si>
  <si>
    <t>d</t>
  </si>
  <si>
    <t>n</t>
  </si>
  <si>
    <t>n_series_1</t>
  </si>
  <si>
    <t>n_series_2</t>
  </si>
  <si>
    <t>confidence</t>
  </si>
  <si>
    <t>logRR</t>
  </si>
  <si>
    <t>phi</t>
  </si>
  <si>
    <t>p_value</t>
  </si>
  <si>
    <t>logRR_norm</t>
  </si>
  <si>
    <t>phi_norm</t>
  </si>
  <si>
    <t>Score_default</t>
  </si>
  <si>
    <t>Score_minus_conf</t>
  </si>
  <si>
    <t>Adversarial training</t>
  </si>
  <si>
    <t>Meta-learning</t>
  </si>
  <si>
    <t>Integer-only operations</t>
  </si>
  <si>
    <t>Task-level parallelism on CNN layer-level</t>
  </si>
  <si>
    <t>External computational offloading</t>
  </si>
  <si>
    <t>Fault tolerant training</t>
  </si>
  <si>
    <t>Heuristics-driven augmentation</t>
  </si>
  <si>
    <t>Closed-loop learning</t>
  </si>
  <si>
    <t>Tensor or matrix decomposition</t>
  </si>
  <si>
    <t>Few-shot learning</t>
  </si>
  <si>
    <t>Training with adversarial noise</t>
  </si>
  <si>
    <t>Tuner and meta-tuner blocks</t>
  </si>
  <si>
    <t>Multitask Scheduling</t>
  </si>
  <si>
    <t>Network partitioning</t>
  </si>
  <si>
    <t>Training with gradient noise</t>
  </si>
  <si>
    <t>Federated learning</t>
  </si>
  <si>
    <t>Multi-model of different models</t>
  </si>
  <si>
    <t>Failure prevention or mitigation</t>
  </si>
  <si>
    <t>Incremental training with sensor data</t>
  </si>
  <si>
    <t>Adapter module</t>
  </si>
  <si>
    <t>Partial layer execution</t>
  </si>
  <si>
    <t>Early-exit inference</t>
  </si>
  <si>
    <t>Deployment pipeline creation</t>
  </si>
  <si>
    <t>On-device local training</t>
  </si>
  <si>
    <t>Feature encoding</t>
  </si>
  <si>
    <t>Destillation learning</t>
  </si>
  <si>
    <t>Binary weights and activations</t>
  </si>
  <si>
    <t>Neural architecture search</t>
  </si>
  <si>
    <t xml:space="preserve">Finetuning </t>
  </si>
  <si>
    <t>Depth adjustment</t>
  </si>
  <si>
    <t>Out-of-distribution detection</t>
  </si>
  <si>
    <t>Transfer learning</t>
  </si>
  <si>
    <t>Ternary weights and activations 2-bit</t>
  </si>
  <si>
    <t>Mixed-precision compression</t>
  </si>
  <si>
    <t>New or specific layer module</t>
  </si>
  <si>
    <t>Training optimization algorithm selection or adaptation</t>
  </si>
  <si>
    <t>Training with unlabed data</t>
  </si>
  <si>
    <t>Additional side branches with uncertainty measures</t>
  </si>
  <si>
    <t>Sensor duty cycle</t>
  </si>
  <si>
    <t>Library Encapsulation</t>
  </si>
  <si>
    <t>Matrix-multiplication optimization</t>
  </si>
  <si>
    <t>Adaptive model scheduling</t>
  </si>
  <si>
    <t>High-level synthesis</t>
  </si>
  <si>
    <t>Sensor ring architecture</t>
  </si>
  <si>
    <t>Suppress redundant channel activations</t>
  </si>
  <si>
    <t>Relevant content caching</t>
  </si>
  <si>
    <t>Coupled semantic descriptions</t>
  </si>
  <si>
    <t>Physically small</t>
  </si>
  <si>
    <t>Layer fusion</t>
  </si>
  <si>
    <t>Merging of fault maps</t>
  </si>
  <si>
    <t>Fault-aware retraining</t>
  </si>
  <si>
    <t xml:space="preserve">Post-hoc uncertainty calibration </t>
  </si>
  <si>
    <t>Later local processing of encoded features</t>
  </si>
  <si>
    <t>Model format conversion</t>
  </si>
  <si>
    <t>Für Score &gt;= 0.6</t>
  </si>
  <si>
    <t>Indenpendency/Autonomy</t>
  </si>
  <si>
    <t>End-to-end learning</t>
  </si>
  <si>
    <t>Policy conversion</t>
  </si>
  <si>
    <t>Die Taktiken werden stehen im Zusammenhang mit anderen Qualitätsattribten</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</si>
  <si>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</si>
  <si>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</si>
  <si>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</si>
  <si>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</si>
  <si>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</si>
  <si>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</si>
  <si>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</si>
  <si>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</si>
  <si>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</si>
  <si>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</si>
  <si>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</si>
  <si>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</si>
  <si>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</si>
  <si>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</si>
  <si>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</si>
  <si>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</si>
  <si>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</si>
  <si>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</si>
  <si>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</si>
  <si>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</si>
  <si>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</si>
  <si>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</si>
  <si>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</si>
  <si>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</si>
  <si>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</si>
  <si>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</si>
  <si>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</si>
  <si>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</si>
  <si>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</si>
  <si>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</si>
  <si>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</si>
  <si>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</si>
  <si>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</si>
  <si>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</si>
  <si>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</si>
  <si>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</si>
  <si>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Quantization-aware training</t>
  </si>
  <si>
    <t>Internal computation balancing</t>
  </si>
  <si>
    <t>Quantization-aware retraining</t>
  </si>
  <si>
    <t>Architecture design through math. optimization</t>
  </si>
  <si>
    <t>Smaller computation datatype</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</si>
  <si>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</si>
  <si>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</si>
  <si>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</si>
  <si>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</si>
  <si>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</si>
  <si>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</si>
  <si>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</si>
  <si>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</si>
  <si>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</si>
  <si>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</si>
  <si>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</si>
  <si>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</si>
  <si>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</si>
  <si>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</si>
  <si>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</si>
  <si>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</si>
  <si>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</si>
  <si>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</si>
  <si>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</si>
  <si>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</si>
  <si>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</si>
  <si>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</si>
  <si>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Weight sharing</t>
  </si>
  <si>
    <t>Diagonal scalar weight matrix</t>
  </si>
  <si>
    <t>Completeness Recommendations (on Interview)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</si>
</sst>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4" fillId="0" borderId="0" applyFont="0" applyFill="0" applyBorder="0" applyAlignment="0" applyProtection="0"/>
  </cellStyleXfs>
  <cellXfs count="13">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3" fillId="0" borderId="0" xfId="0" applyFont="1"/>
    <xf numFmtId="10" fontId="0" fillId="0" borderId="0" xfId="1" applyNumberFormat="1" applyFont="1"/>
    <xf numFmtId="164" fontId="0" fillId="0" borderId="0" xfId="0" applyNumberFormat="1"/>
    <xf numFmtId="11" fontId="0" fillId="0" borderId="0" xfId="0" applyNumberFormat="1"/>
    <xf numFmtId="0" fontId="5" fillId="0" borderId="0" xfId="0" applyFont="1"/>
    <xf numFmtId="0" fontId="0" fillId="0" borderId="0" xfId="0" applyAlignment="1">
      <alignment horizontal="left" vertical="top"/>
    </xf>
    <xf numFmtId="0" fontId="2" fillId="0" borderId="0" xfId="0" applyFont="1" applyAlignment="1">
      <alignment horizontal="left"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3</a:t>
          </a:r>
        </a:p>
      </cx:txPr>
    </cx:title>
    <cx:plotArea>
      <cx:plotAreaRegion>
        <cx:series layoutId="boxWhisker" uniqueId="{CD766F04-D8FC-42BB-A1E6-4395D05E818A}" formatIdx="0">
          <cx:tx>
            <cx:txData>
              <cx:f>_xlchart.v1.0</cx:f>
              <cx:v>confidence</cx:v>
            </cx:txData>
          </cx:tx>
          <cx:dataId val="0"/>
          <cx:layoutPr>
            <cx:statistics quartileMethod="exclusive"/>
          </cx:layoutPr>
        </cx:series>
        <cx:series layoutId="boxWhisker" uniqueId="{F5D60A0D-06C0-4227-91C6-A2A1D8DF6E31}" formatIdx="2">
          <cx:tx>
            <cx:txData>
              <cx:f>_xlchart.v1.2</cx:f>
              <cx:v>phi</cx:v>
            </cx:txData>
          </cx:tx>
          <cx:dataId val="1"/>
          <cx:layoutPr>
            <cx:statistics quartileMethod="exclusive"/>
          </cx:layoutPr>
        </cx:series>
        <cx:series layoutId="boxWhisker" uniqueId="{0335890F-054F-4573-B218-901844B3AA65}" formatIdx="3">
          <cx:tx>
            <cx:txData>
              <cx:f>_xlchart.v1.4</cx:f>
              <cx:v>p_value</cx:v>
            </cx:txData>
          </cx:tx>
          <cx:dataId val="2"/>
          <cx:layoutPr>
            <cx:statistics quartileMethod="exclusive"/>
          </cx:layoutPr>
        </cx:series>
        <cx:series layoutId="boxWhisker" uniqueId="{A567FE17-FE8E-460A-9209-5F9F4BE65A9F}" formatIdx="4">
          <cx:tx>
            <cx:txData>
              <cx:f>_xlchart.v1.6</cx:f>
              <cx:v>logRR_norm</cx:v>
            </cx:txData>
          </cx:tx>
          <cx:dataId val="3"/>
          <cx:layoutPr>
            <cx:statistics quartileMethod="exclusive"/>
          </cx:layoutPr>
        </cx:series>
        <cx:series layoutId="boxWhisker" uniqueId="{D71CA6DC-9AFF-42FA-A862-256EB1259836}" formatIdx="6">
          <cx:tx>
            <cx:txData>
              <cx:f>_xlchart.v1.8</cx:f>
              <cx:v>Score_default</cx:v>
            </cx:txData>
          </cx:tx>
          <cx:dataId val="4"/>
          <cx:layoutPr>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19</xdr:col>
      <xdr:colOff>0</xdr:colOff>
      <xdr:row>107</xdr:row>
      <xdr:rowOff>0</xdr:rowOff>
    </xdr:from>
    <xdr:to>
      <xdr:col>25</xdr:col>
      <xdr:colOff>392430</xdr:colOff>
      <xdr:row>630</xdr:row>
      <xdr:rowOff>165735</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397A6085-4D4B-4715-82A0-AA666BA07C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1582400" y="731520"/>
              <a:ext cx="4050030" cy="400621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sheetPr filterMode="1"/>
  <dimension ref="A1:L57"/>
  <sheetViews>
    <sheetView tabSelected="1" workbookViewId="0">
      <selection activeCell="C84" sqref="C84"/>
    </sheetView>
  </sheetViews>
  <sheetFormatPr defaultRowHeight="14.4" x14ac:dyDescent="0.3"/>
  <cols>
    <col min="1" max="1" width="33.77734375" customWidth="1"/>
    <col min="2" max="2" width="15.77734375" customWidth="1"/>
    <col min="3" max="3" width="31.44140625" customWidth="1"/>
    <col min="4" max="4" width="37" customWidth="1"/>
    <col min="6" max="6" width="19.21875" customWidth="1"/>
  </cols>
  <sheetData>
    <row r="1" spans="1:12" x14ac:dyDescent="0.3">
      <c r="A1" t="s">
        <v>24</v>
      </c>
      <c r="B1" t="s">
        <v>25</v>
      </c>
      <c r="C1" t="s">
        <v>26</v>
      </c>
      <c r="D1" t="s">
        <v>25</v>
      </c>
      <c r="E1" s="1" t="s">
        <v>27</v>
      </c>
      <c r="G1" t="s">
        <v>131</v>
      </c>
    </row>
    <row r="2" spans="1:12" hidden="1" x14ac:dyDescent="0.3">
      <c r="A2" t="s">
        <v>28</v>
      </c>
      <c r="B2" t="s">
        <v>29</v>
      </c>
      <c r="E2" s="1">
        <f>SUM(E3:E6)/COUNT(E3:E6)</f>
        <v>3.75</v>
      </c>
      <c r="G2" t="s">
        <v>13</v>
      </c>
    </row>
    <row r="3" spans="1:12" hidden="1" x14ac:dyDescent="0.3">
      <c r="A3" s="11"/>
      <c r="B3" s="12"/>
      <c r="C3" t="s">
        <v>30</v>
      </c>
      <c r="D3" s="2" t="s">
        <v>31</v>
      </c>
      <c r="E3" s="3">
        <v>5</v>
      </c>
      <c r="G3" t="s">
        <v>13</v>
      </c>
    </row>
    <row r="4" spans="1:12" x14ac:dyDescent="0.3">
      <c r="A4" s="11"/>
      <c r="B4" s="12"/>
      <c r="C4" t="s">
        <v>32</v>
      </c>
      <c r="D4" s="2" t="s">
        <v>33</v>
      </c>
      <c r="E4" s="3">
        <v>4</v>
      </c>
      <c r="G4" t="s">
        <v>12</v>
      </c>
    </row>
    <row r="5" spans="1:12" hidden="1" x14ac:dyDescent="0.3">
      <c r="A5" s="11"/>
      <c r="B5" s="12"/>
      <c r="C5" t="s">
        <v>34</v>
      </c>
      <c r="D5" s="2" t="s">
        <v>35</v>
      </c>
      <c r="E5" s="3">
        <v>4</v>
      </c>
      <c r="G5" t="s">
        <v>13</v>
      </c>
    </row>
    <row r="6" spans="1:12" hidden="1" x14ac:dyDescent="0.3">
      <c r="A6" s="11"/>
      <c r="B6" s="12"/>
      <c r="C6" t="s">
        <v>36</v>
      </c>
      <c r="D6" s="2" t="s">
        <v>37</v>
      </c>
      <c r="E6" s="3">
        <v>2</v>
      </c>
    </row>
    <row r="7" spans="1:12" x14ac:dyDescent="0.3">
      <c r="A7" s="4" t="s">
        <v>38</v>
      </c>
      <c r="B7" s="5" t="s">
        <v>39</v>
      </c>
      <c r="D7" s="2"/>
      <c r="E7" s="1">
        <f>SUM(E8:E10)/COUNT(E8:E10)</f>
        <v>3.6666666666666665</v>
      </c>
      <c r="G7" t="s">
        <v>12</v>
      </c>
    </row>
    <row r="8" spans="1:12" x14ac:dyDescent="0.3">
      <c r="A8" s="11"/>
      <c r="B8" s="12"/>
      <c r="C8" t="s">
        <v>40</v>
      </c>
      <c r="D8" s="2" t="s">
        <v>41</v>
      </c>
      <c r="E8" s="3">
        <v>5</v>
      </c>
      <c r="G8" t="s">
        <v>12</v>
      </c>
    </row>
    <row r="9" spans="1:12" x14ac:dyDescent="0.3">
      <c r="A9" s="11"/>
      <c r="B9" s="12"/>
      <c r="C9" t="s">
        <v>42</v>
      </c>
      <c r="D9" s="2" t="s">
        <v>43</v>
      </c>
      <c r="E9" s="3">
        <v>3</v>
      </c>
      <c r="G9" t="s">
        <v>12</v>
      </c>
    </row>
    <row r="10" spans="1:12" x14ac:dyDescent="0.3">
      <c r="A10" s="11"/>
      <c r="B10" s="12"/>
      <c r="C10" t="s">
        <v>44</v>
      </c>
      <c r="D10" s="2" t="s">
        <v>45</v>
      </c>
      <c r="E10" s="3">
        <v>3</v>
      </c>
      <c r="G10" t="s">
        <v>12</v>
      </c>
    </row>
    <row r="11" spans="1:12" hidden="1" x14ac:dyDescent="0.3">
      <c r="A11" s="4" t="s">
        <v>46</v>
      </c>
      <c r="B11" s="5" t="s">
        <v>47</v>
      </c>
      <c r="D11" s="2"/>
      <c r="E11" s="1">
        <f>SUM(E12:E13)/COUNT(E12:E13)</f>
        <v>1.5</v>
      </c>
      <c r="L11" t="s">
        <v>132</v>
      </c>
    </row>
    <row r="12" spans="1:12" hidden="1" x14ac:dyDescent="0.3">
      <c r="A12" s="11"/>
      <c r="B12" s="12"/>
      <c r="C12" t="s">
        <v>48</v>
      </c>
      <c r="D12" s="2" t="s">
        <v>49</v>
      </c>
      <c r="E12" s="3">
        <v>0</v>
      </c>
      <c r="L12">
        <f>COUNTIF(G2:G57,"Yes")/(COUNTIF(G2:G57,"Yes")+COUNTIF(G2:G57,"No"))</f>
        <v>0.37931034482758619</v>
      </c>
    </row>
    <row r="13" spans="1:12" x14ac:dyDescent="0.3">
      <c r="A13" s="11"/>
      <c r="B13" s="12"/>
      <c r="C13" t="s">
        <v>50</v>
      </c>
      <c r="D13" s="2" t="s">
        <v>51</v>
      </c>
      <c r="E13" s="3">
        <v>3</v>
      </c>
      <c r="G13" t="s">
        <v>12</v>
      </c>
    </row>
    <row r="14" spans="1:12" x14ac:dyDescent="0.3">
      <c r="A14" s="4" t="s">
        <v>52</v>
      </c>
      <c r="B14" s="5" t="s">
        <v>53</v>
      </c>
      <c r="D14" s="2"/>
      <c r="E14" s="1">
        <f>SUM(E15:E22)/COUNT(E15:E22)</f>
        <v>3.125</v>
      </c>
      <c r="G14" t="s">
        <v>12</v>
      </c>
    </row>
    <row r="15" spans="1:12" hidden="1" x14ac:dyDescent="0.3">
      <c r="A15" s="11"/>
      <c r="B15" s="12"/>
      <c r="C15" t="s">
        <v>54</v>
      </c>
      <c r="D15" s="2" t="s">
        <v>55</v>
      </c>
      <c r="E15" s="3">
        <v>3</v>
      </c>
      <c r="G15" t="s">
        <v>13</v>
      </c>
    </row>
    <row r="16" spans="1:12" hidden="1" x14ac:dyDescent="0.3">
      <c r="A16" s="11"/>
      <c r="B16" s="12"/>
      <c r="C16" t="s">
        <v>56</v>
      </c>
      <c r="D16" s="2" t="s">
        <v>57</v>
      </c>
      <c r="E16" s="3">
        <v>4</v>
      </c>
      <c r="G16" t="s">
        <v>13</v>
      </c>
    </row>
    <row r="17" spans="1:7" hidden="1" x14ac:dyDescent="0.3">
      <c r="A17" s="11"/>
      <c r="B17" s="12"/>
      <c r="C17" t="s">
        <v>58</v>
      </c>
      <c r="D17" s="2" t="s">
        <v>59</v>
      </c>
      <c r="E17" s="3">
        <v>4</v>
      </c>
      <c r="G17" t="s">
        <v>13</v>
      </c>
    </row>
    <row r="18" spans="1:7" hidden="1" x14ac:dyDescent="0.3">
      <c r="A18" s="11"/>
      <c r="B18" s="12"/>
      <c r="C18" t="s">
        <v>60</v>
      </c>
      <c r="D18" s="2" t="s">
        <v>61</v>
      </c>
      <c r="E18" s="3">
        <v>4</v>
      </c>
      <c r="G18" t="s">
        <v>13</v>
      </c>
    </row>
    <row r="19" spans="1:7" hidden="1" x14ac:dyDescent="0.3">
      <c r="A19" s="11"/>
      <c r="B19" s="12"/>
      <c r="C19" t="s">
        <v>62</v>
      </c>
      <c r="D19" s="2" t="s">
        <v>63</v>
      </c>
      <c r="E19" s="3">
        <v>3</v>
      </c>
      <c r="G19" t="s">
        <v>13</v>
      </c>
    </row>
    <row r="20" spans="1:7" hidden="1" x14ac:dyDescent="0.3">
      <c r="A20" s="11"/>
      <c r="B20" s="12"/>
      <c r="C20" t="s">
        <v>64</v>
      </c>
      <c r="D20" s="2" t="s">
        <v>65</v>
      </c>
      <c r="E20" s="3">
        <v>0</v>
      </c>
    </row>
    <row r="21" spans="1:7" hidden="1" x14ac:dyDescent="0.3">
      <c r="A21" s="11"/>
      <c r="B21" s="12"/>
      <c r="C21" t="s">
        <v>66</v>
      </c>
      <c r="D21" s="2" t="s">
        <v>67</v>
      </c>
      <c r="E21" s="3">
        <v>3</v>
      </c>
      <c r="G21" t="s">
        <v>13</v>
      </c>
    </row>
    <row r="22" spans="1:7" hidden="1" x14ac:dyDescent="0.3">
      <c r="A22" s="11"/>
      <c r="B22" s="12"/>
      <c r="C22" t="s">
        <v>68</v>
      </c>
      <c r="D22" s="2" t="s">
        <v>69</v>
      </c>
      <c r="E22" s="3">
        <v>4</v>
      </c>
      <c r="G22" t="s">
        <v>13</v>
      </c>
    </row>
    <row r="23" spans="1:7" hidden="1" x14ac:dyDescent="0.3">
      <c r="A23" s="4" t="s">
        <v>70</v>
      </c>
      <c r="B23" s="5" t="s">
        <v>71</v>
      </c>
      <c r="D23" s="2"/>
      <c r="E23" s="1">
        <f>SUM(E24:E28)/COUNT(E24:E28)</f>
        <v>2.4</v>
      </c>
    </row>
    <row r="24" spans="1:7" hidden="1" x14ac:dyDescent="0.3">
      <c r="A24" s="11"/>
      <c r="B24" s="12"/>
      <c r="C24" t="s">
        <v>72</v>
      </c>
      <c r="D24" s="2" t="s">
        <v>65</v>
      </c>
      <c r="E24" s="3">
        <v>4</v>
      </c>
      <c r="G24" t="s">
        <v>13</v>
      </c>
    </row>
    <row r="25" spans="1:7" hidden="1" x14ac:dyDescent="0.3">
      <c r="A25" s="11"/>
      <c r="B25" s="12"/>
      <c r="C25" t="s">
        <v>73</v>
      </c>
      <c r="D25" s="2" t="s">
        <v>74</v>
      </c>
      <c r="E25" s="3">
        <v>5</v>
      </c>
      <c r="G25" t="s">
        <v>13</v>
      </c>
    </row>
    <row r="26" spans="1:7" hidden="1" x14ac:dyDescent="0.3">
      <c r="A26" s="11"/>
      <c r="B26" s="12"/>
      <c r="C26" t="s">
        <v>75</v>
      </c>
      <c r="D26" s="2" t="s">
        <v>76</v>
      </c>
      <c r="E26" s="3">
        <v>0</v>
      </c>
    </row>
    <row r="27" spans="1:7" hidden="1" x14ac:dyDescent="0.3">
      <c r="A27" s="11"/>
      <c r="B27" s="12"/>
      <c r="C27" t="s">
        <v>77</v>
      </c>
      <c r="D27" s="2" t="s">
        <v>78</v>
      </c>
      <c r="E27" s="3">
        <v>0</v>
      </c>
    </row>
    <row r="28" spans="1:7" x14ac:dyDescent="0.3">
      <c r="A28" s="11"/>
      <c r="B28" s="12"/>
      <c r="C28" t="s">
        <v>79</v>
      </c>
      <c r="D28" s="2" t="s">
        <v>80</v>
      </c>
      <c r="E28" s="3">
        <v>3</v>
      </c>
      <c r="G28" t="s">
        <v>12</v>
      </c>
    </row>
    <row r="29" spans="1:7" hidden="1" x14ac:dyDescent="0.3">
      <c r="A29" s="4" t="s">
        <v>81</v>
      </c>
      <c r="B29" s="5" t="s">
        <v>82</v>
      </c>
      <c r="D29" s="2"/>
      <c r="E29" s="1">
        <f>SUM(E30:E35)/COUNT(E30:E35)</f>
        <v>0.5</v>
      </c>
    </row>
    <row r="30" spans="1:7" hidden="1" x14ac:dyDescent="0.3">
      <c r="A30" s="11"/>
      <c r="B30" s="12"/>
      <c r="C30" t="s">
        <v>83</v>
      </c>
      <c r="D30" s="2" t="s">
        <v>84</v>
      </c>
      <c r="E30" s="3">
        <v>0</v>
      </c>
    </row>
    <row r="31" spans="1:7" hidden="1" x14ac:dyDescent="0.3">
      <c r="A31" s="11"/>
      <c r="B31" s="12"/>
      <c r="C31" t="s">
        <v>85</v>
      </c>
      <c r="D31" s="2" t="s">
        <v>86</v>
      </c>
      <c r="E31" s="3">
        <v>0</v>
      </c>
    </row>
    <row r="32" spans="1:7" hidden="1" x14ac:dyDescent="0.3">
      <c r="A32" s="11"/>
      <c r="B32" s="12"/>
      <c r="C32" t="s">
        <v>87</v>
      </c>
      <c r="D32" s="2" t="s">
        <v>88</v>
      </c>
      <c r="E32" s="3">
        <v>0</v>
      </c>
    </row>
    <row r="33" spans="1:7" hidden="1" x14ac:dyDescent="0.3">
      <c r="A33" s="11"/>
      <c r="B33" s="12"/>
      <c r="C33" t="s">
        <v>89</v>
      </c>
      <c r="D33" s="2" t="s">
        <v>90</v>
      </c>
      <c r="E33" s="3">
        <v>0</v>
      </c>
    </row>
    <row r="34" spans="1:7" hidden="1" x14ac:dyDescent="0.3">
      <c r="A34" s="11"/>
      <c r="B34" s="12"/>
      <c r="C34" t="s">
        <v>91</v>
      </c>
      <c r="D34" s="2" t="s">
        <v>92</v>
      </c>
      <c r="E34" s="3">
        <v>0</v>
      </c>
    </row>
    <row r="35" spans="1:7" hidden="1" x14ac:dyDescent="0.3">
      <c r="A35" s="11"/>
      <c r="B35" s="12"/>
      <c r="C35" t="s">
        <v>93</v>
      </c>
      <c r="D35" s="2" t="s">
        <v>94</v>
      </c>
      <c r="E35" s="3">
        <v>3</v>
      </c>
      <c r="G35" t="s">
        <v>13</v>
      </c>
    </row>
    <row r="36" spans="1:7" hidden="1" x14ac:dyDescent="0.3">
      <c r="A36" s="4" t="s">
        <v>95</v>
      </c>
      <c r="B36" s="5" t="s">
        <v>96</v>
      </c>
      <c r="D36" s="2"/>
      <c r="E36" s="1">
        <f>SUM(E37:E41)/COUNT(E37:E41)</f>
        <v>2.8</v>
      </c>
    </row>
    <row r="37" spans="1:7" x14ac:dyDescent="0.3">
      <c r="A37" s="11"/>
      <c r="B37" s="12"/>
      <c r="C37" t="s">
        <v>97</v>
      </c>
      <c r="D37" s="2" t="s">
        <v>98</v>
      </c>
      <c r="E37" s="3">
        <v>4</v>
      </c>
      <c r="G37" t="s">
        <v>12</v>
      </c>
    </row>
    <row r="38" spans="1:7" hidden="1" x14ac:dyDescent="0.3">
      <c r="A38" s="11"/>
      <c r="B38" s="12"/>
      <c r="C38" t="s">
        <v>99</v>
      </c>
      <c r="D38" s="2" t="s">
        <v>100</v>
      </c>
      <c r="E38" s="3">
        <v>4</v>
      </c>
      <c r="G38" t="s">
        <v>13</v>
      </c>
    </row>
    <row r="39" spans="1:7" hidden="1" x14ac:dyDescent="0.3">
      <c r="A39" s="11"/>
      <c r="B39" s="12"/>
      <c r="C39" t="s">
        <v>101</v>
      </c>
      <c r="D39" s="2" t="s">
        <v>102</v>
      </c>
      <c r="E39" s="3">
        <v>3</v>
      </c>
      <c r="G39" t="s">
        <v>13</v>
      </c>
    </row>
    <row r="40" spans="1:7" x14ac:dyDescent="0.3">
      <c r="A40" s="11"/>
      <c r="B40" s="12"/>
      <c r="C40" t="s">
        <v>103</v>
      </c>
      <c r="D40" s="2" t="s">
        <v>104</v>
      </c>
      <c r="E40" s="3">
        <v>3</v>
      </c>
      <c r="G40" t="s">
        <v>12</v>
      </c>
    </row>
    <row r="41" spans="1:7" hidden="1" x14ac:dyDescent="0.3">
      <c r="A41" s="11"/>
      <c r="B41" s="12"/>
      <c r="C41" t="s">
        <v>105</v>
      </c>
      <c r="D41" s="2" t="s">
        <v>106</v>
      </c>
      <c r="E41" s="3">
        <v>0</v>
      </c>
    </row>
    <row r="42" spans="1:7" hidden="1" x14ac:dyDescent="0.3">
      <c r="A42" s="4" t="s">
        <v>107</v>
      </c>
      <c r="B42" s="5" t="s">
        <v>65</v>
      </c>
      <c r="D42" s="2"/>
      <c r="E42" s="1">
        <f>SUM(E43:E45)/COUNT(E43:E45)</f>
        <v>2.3333333333333335</v>
      </c>
    </row>
    <row r="43" spans="1:7" hidden="1" x14ac:dyDescent="0.3">
      <c r="A43" s="11"/>
      <c r="B43" s="12"/>
      <c r="C43" t="s">
        <v>108</v>
      </c>
      <c r="D43" s="2" t="s">
        <v>109</v>
      </c>
      <c r="E43" s="3">
        <v>4</v>
      </c>
      <c r="G43" t="s">
        <v>13</v>
      </c>
    </row>
    <row r="44" spans="1:7" hidden="1" x14ac:dyDescent="0.3">
      <c r="A44" s="11"/>
      <c r="B44" s="12"/>
      <c r="C44" t="s">
        <v>110</v>
      </c>
      <c r="D44" s="2" t="s">
        <v>111</v>
      </c>
      <c r="E44" s="3">
        <v>0</v>
      </c>
    </row>
    <row r="45" spans="1:7" hidden="1" x14ac:dyDescent="0.3">
      <c r="A45" s="11"/>
      <c r="B45" s="12"/>
      <c r="C45" t="s">
        <v>112</v>
      </c>
      <c r="D45" s="2" t="s">
        <v>113</v>
      </c>
      <c r="E45" s="3">
        <v>3</v>
      </c>
      <c r="G45" t="s">
        <v>13</v>
      </c>
    </row>
    <row r="46" spans="1:7" hidden="1" x14ac:dyDescent="0.3">
      <c r="A46" s="11" t="s">
        <v>114</v>
      </c>
      <c r="B46" s="12" t="s">
        <v>115</v>
      </c>
      <c r="C46" t="s">
        <v>116</v>
      </c>
      <c r="D46" s="2" t="s">
        <v>117</v>
      </c>
      <c r="E46" s="3">
        <v>0</v>
      </c>
    </row>
    <row r="47" spans="1:7" hidden="1" x14ac:dyDescent="0.3">
      <c r="A47" s="11"/>
      <c r="B47" s="12"/>
      <c r="C47" t="s">
        <v>118</v>
      </c>
      <c r="D47" s="2" t="s">
        <v>65</v>
      </c>
      <c r="E47" s="3">
        <v>1</v>
      </c>
    </row>
    <row r="48" spans="1:7" x14ac:dyDescent="0.3">
      <c r="A48" s="11"/>
      <c r="B48" s="12"/>
      <c r="C48" t="s">
        <v>119</v>
      </c>
      <c r="D48" s="2" t="s">
        <v>65</v>
      </c>
      <c r="E48" s="3">
        <v>5</v>
      </c>
      <c r="G48" t="s">
        <v>12</v>
      </c>
    </row>
    <row r="49" spans="1:7" hidden="1" x14ac:dyDescent="0.3">
      <c r="A49" s="11"/>
      <c r="B49" s="12"/>
      <c r="C49" t="s">
        <v>120</v>
      </c>
      <c r="D49" s="2" t="s">
        <v>65</v>
      </c>
      <c r="E49" s="3">
        <v>2</v>
      </c>
    </row>
    <row r="50" spans="1:7" hidden="1" x14ac:dyDescent="0.3">
      <c r="A50" s="11"/>
      <c r="B50" s="12"/>
      <c r="C50" t="s">
        <v>121</v>
      </c>
      <c r="D50" s="2" t="s">
        <v>65</v>
      </c>
      <c r="E50" s="3">
        <v>0</v>
      </c>
    </row>
    <row r="51" spans="1:7" hidden="1" x14ac:dyDescent="0.3">
      <c r="A51" s="11"/>
      <c r="B51" s="12"/>
      <c r="C51" t="s">
        <v>122</v>
      </c>
      <c r="D51" s="2" t="s">
        <v>65</v>
      </c>
      <c r="E51" s="3">
        <v>3</v>
      </c>
      <c r="G51" t="s">
        <v>13</v>
      </c>
    </row>
    <row r="52" spans="1:7" hidden="1" x14ac:dyDescent="0.3">
      <c r="A52" s="11"/>
      <c r="B52" s="12"/>
      <c r="C52" t="s">
        <v>123</v>
      </c>
      <c r="D52" s="2" t="s">
        <v>65</v>
      </c>
      <c r="E52" s="3">
        <v>0</v>
      </c>
    </row>
    <row r="53" spans="1:7" hidden="1" x14ac:dyDescent="0.3">
      <c r="A53" s="11"/>
      <c r="B53" s="12"/>
      <c r="C53" t="s">
        <v>124</v>
      </c>
      <c r="D53" s="2" t="s">
        <v>65</v>
      </c>
      <c r="E53" s="3">
        <v>0</v>
      </c>
    </row>
    <row r="54" spans="1:7" hidden="1" x14ac:dyDescent="0.3">
      <c r="A54" s="11"/>
      <c r="B54" s="12"/>
      <c r="C54" t="s">
        <v>125</v>
      </c>
      <c r="D54" s="2" t="s">
        <v>126</v>
      </c>
      <c r="E54" s="3">
        <v>2</v>
      </c>
    </row>
    <row r="55" spans="1:7" hidden="1" x14ac:dyDescent="0.3">
      <c r="A55" s="11"/>
      <c r="B55" s="12"/>
      <c r="C55" t="s">
        <v>127</v>
      </c>
      <c r="D55" s="2" t="s">
        <v>128</v>
      </c>
      <c r="E55" s="3">
        <v>0</v>
      </c>
    </row>
    <row r="56" spans="1:7" hidden="1" x14ac:dyDescent="0.3">
      <c r="A56" s="11"/>
      <c r="B56" s="12"/>
      <c r="C56" t="s">
        <v>129</v>
      </c>
      <c r="D56" s="2" t="s">
        <v>65</v>
      </c>
      <c r="E56" s="3">
        <v>0</v>
      </c>
    </row>
    <row r="57" spans="1:7" hidden="1" x14ac:dyDescent="0.3">
      <c r="A57" s="11"/>
      <c r="B57" s="12"/>
      <c r="C57" t="s">
        <v>130</v>
      </c>
      <c r="D57" s="2" t="s">
        <v>65</v>
      </c>
      <c r="E57">
        <v>2</v>
      </c>
    </row>
  </sheetData>
  <autoFilter ref="A1:S57" xr:uid="{00000000-0001-0000-0000-000000000000}">
    <filterColumn colId="4">
      <customFilters>
        <customFilter operator="greaterThanOrEqual" val="3"/>
      </customFilters>
    </filterColumn>
    <filterColumn colId="6">
      <filters>
        <filter val="Yes"/>
      </filters>
    </filterColumn>
  </autoFilter>
  <mergeCells count="18">
    <mergeCell ref="A3:A6"/>
    <mergeCell ref="B3:B6"/>
    <mergeCell ref="A8:A10"/>
    <mergeCell ref="B8:B10"/>
    <mergeCell ref="A12:A13"/>
    <mergeCell ref="B12:B13"/>
    <mergeCell ref="A15:A22"/>
    <mergeCell ref="B15:B22"/>
    <mergeCell ref="A24:A28"/>
    <mergeCell ref="B24:B28"/>
    <mergeCell ref="A30:A35"/>
    <mergeCell ref="B30:B35"/>
    <mergeCell ref="A37:A41"/>
    <mergeCell ref="B37:B41"/>
    <mergeCell ref="A43:A45"/>
    <mergeCell ref="B43:B45"/>
    <mergeCell ref="A46:A57"/>
    <mergeCell ref="B46:B57"/>
  </mergeCells>
  <conditionalFormatting sqref="E1:E1048576">
    <cfRule type="iconSet" priority="1">
      <iconSet>
        <cfvo type="percent" val="0"/>
        <cfvo type="num" val="0"/>
        <cfvo type="num" val="3"/>
      </iconSet>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E40"/>
  <sheetViews>
    <sheetView topLeftCell="A13" workbookViewId="0">
      <selection activeCell="B36" sqref="B36"/>
    </sheetView>
  </sheetViews>
  <sheetFormatPr defaultRowHeight="14.4" x14ac:dyDescent="0.3"/>
  <sheetData>
    <row r="1" spans="1:5" x14ac:dyDescent="0.3">
      <c r="A1" s="1" t="s">
        <v>10</v>
      </c>
      <c r="E1" s="1"/>
    </row>
    <row r="2" spans="1:5" x14ac:dyDescent="0.3">
      <c r="A2" t="s">
        <v>0</v>
      </c>
    </row>
    <row r="3" spans="1:5" x14ac:dyDescent="0.3">
      <c r="A3" t="s">
        <v>22</v>
      </c>
    </row>
    <row r="4" spans="1:5" x14ac:dyDescent="0.3">
      <c r="A4" t="s">
        <v>133</v>
      </c>
    </row>
    <row r="5" spans="1:5" x14ac:dyDescent="0.3">
      <c r="A5" t="s">
        <v>1</v>
      </c>
    </row>
    <row r="6" spans="1:5" x14ac:dyDescent="0.3">
      <c r="A6" t="s">
        <v>2</v>
      </c>
    </row>
    <row r="7" spans="1:5" x14ac:dyDescent="0.3">
      <c r="A7" t="s">
        <v>3</v>
      </c>
    </row>
    <row r="8" spans="1:5" x14ac:dyDescent="0.3">
      <c r="A8" t="s">
        <v>143</v>
      </c>
    </row>
    <row r="9" spans="1:5" x14ac:dyDescent="0.3">
      <c r="A9" t="s">
        <v>7</v>
      </c>
    </row>
    <row r="10" spans="1:5" x14ac:dyDescent="0.3">
      <c r="A10" t="s">
        <v>14</v>
      </c>
    </row>
    <row r="11" spans="1:5" x14ac:dyDescent="0.3">
      <c r="A11" t="s">
        <v>4</v>
      </c>
    </row>
    <row r="12" spans="1:5" x14ac:dyDescent="0.3">
      <c r="A12" t="s">
        <v>134</v>
      </c>
    </row>
    <row r="13" spans="1:5" x14ac:dyDescent="0.3">
      <c r="A13" t="s">
        <v>144</v>
      </c>
    </row>
    <row r="14" spans="1:5" x14ac:dyDescent="0.3">
      <c r="A14" t="s">
        <v>145</v>
      </c>
    </row>
    <row r="15" spans="1:5" x14ac:dyDescent="0.3">
      <c r="A15" t="s">
        <v>135</v>
      </c>
    </row>
    <row r="16" spans="1:5" x14ac:dyDescent="0.3">
      <c r="A16" t="s">
        <v>5</v>
      </c>
    </row>
    <row r="17" spans="1:1" x14ac:dyDescent="0.3">
      <c r="A17" t="s">
        <v>136</v>
      </c>
    </row>
    <row r="18" spans="1:1" x14ac:dyDescent="0.3">
      <c r="A18" t="s">
        <v>137</v>
      </c>
    </row>
    <row r="19" spans="1:1" x14ac:dyDescent="0.3">
      <c r="A19" t="s">
        <v>138</v>
      </c>
    </row>
    <row r="20" spans="1:1" x14ac:dyDescent="0.3">
      <c r="A20" t="s">
        <v>146</v>
      </c>
    </row>
    <row r="21" spans="1:1" x14ac:dyDescent="0.3">
      <c r="A21" t="s">
        <v>139</v>
      </c>
    </row>
    <row r="22" spans="1:1" x14ac:dyDescent="0.3">
      <c r="A22" t="s">
        <v>6</v>
      </c>
    </row>
    <row r="23" spans="1:1" x14ac:dyDescent="0.3">
      <c r="A23" t="s">
        <v>147</v>
      </c>
    </row>
    <row r="24" spans="1:1" x14ac:dyDescent="0.3">
      <c r="A24" t="s">
        <v>9</v>
      </c>
    </row>
    <row r="25" spans="1:1" x14ac:dyDescent="0.3">
      <c r="A25" t="s">
        <v>140</v>
      </c>
    </row>
    <row r="26" spans="1:1" x14ac:dyDescent="0.3">
      <c r="A26" t="s">
        <v>15</v>
      </c>
    </row>
    <row r="27" spans="1:1" x14ac:dyDescent="0.3">
      <c r="A27" t="s">
        <v>16</v>
      </c>
    </row>
    <row r="28" spans="1:1" x14ac:dyDescent="0.3">
      <c r="A28" t="s">
        <v>141</v>
      </c>
    </row>
    <row r="29" spans="1:1" x14ac:dyDescent="0.3">
      <c r="A29" t="s">
        <v>142</v>
      </c>
    </row>
    <row r="30" spans="1:1" x14ac:dyDescent="0.3">
      <c r="A30" t="s">
        <v>18</v>
      </c>
    </row>
    <row r="31" spans="1:1" x14ac:dyDescent="0.3">
      <c r="A31" t="s">
        <v>19</v>
      </c>
    </row>
    <row r="32" spans="1:1" x14ac:dyDescent="0.3">
      <c r="A32" t="s">
        <v>20</v>
      </c>
    </row>
    <row r="33" spans="1:5" x14ac:dyDescent="0.3">
      <c r="A33" t="s">
        <v>17</v>
      </c>
    </row>
    <row r="34" spans="1:5" x14ac:dyDescent="0.3">
      <c r="A34" t="s">
        <v>21</v>
      </c>
    </row>
    <row r="35" spans="1:5" x14ac:dyDescent="0.3">
      <c r="A35" t="s">
        <v>148</v>
      </c>
    </row>
    <row r="36" spans="1:5" x14ac:dyDescent="0.3">
      <c r="A36" t="s">
        <v>149</v>
      </c>
    </row>
    <row r="37" spans="1:5" x14ac:dyDescent="0.3">
      <c r="A37" t="s">
        <v>150</v>
      </c>
    </row>
    <row r="38" spans="1:5" x14ac:dyDescent="0.3">
      <c r="A38" t="s">
        <v>151</v>
      </c>
    </row>
    <row r="39" spans="1:5" x14ac:dyDescent="0.3">
      <c r="A39" t="s">
        <v>8</v>
      </c>
    </row>
    <row r="40" spans="1:5" x14ac:dyDescent="0.3">
      <c r="A40" s="10"/>
      <c r="E40" s="1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dimension ref="A1:D30"/>
  <sheetViews>
    <sheetView workbookViewId="0">
      <selection activeCell="B1" sqref="B1:B1048576"/>
    </sheetView>
  </sheetViews>
  <sheetFormatPr defaultRowHeight="14.4" x14ac:dyDescent="0.3"/>
  <cols>
    <col min="1" max="1" width="43.5546875" customWidth="1"/>
    <col min="2" max="2" width="38" customWidth="1"/>
  </cols>
  <sheetData>
    <row r="1" spans="1:4" s="1" customFormat="1" x14ac:dyDescent="0.3">
      <c r="A1" s="1" t="s">
        <v>10</v>
      </c>
      <c r="B1" s="1" t="s">
        <v>23</v>
      </c>
      <c r="C1" s="1" t="s">
        <v>11</v>
      </c>
      <c r="D1" s="1" t="s">
        <v>203</v>
      </c>
    </row>
    <row r="2" spans="1:4" x14ac:dyDescent="0.3">
      <c r="A2" t="s">
        <v>199</v>
      </c>
      <c r="C2" t="s">
        <v>12</v>
      </c>
      <c r="D2" t="s">
        <v>12</v>
      </c>
    </row>
    <row r="3" spans="1:4" x14ac:dyDescent="0.3">
      <c r="A3" t="s">
        <v>180</v>
      </c>
      <c r="C3" t="s">
        <v>12</v>
      </c>
      <c r="D3" t="s">
        <v>12</v>
      </c>
    </row>
    <row r="4" spans="1:4" x14ac:dyDescent="0.3">
      <c r="A4" t="s">
        <v>179</v>
      </c>
      <c r="C4" t="s">
        <v>12</v>
      </c>
      <c r="D4" t="s">
        <v>12</v>
      </c>
    </row>
    <row r="5" spans="1:4" x14ac:dyDescent="0.3">
      <c r="A5" t="s">
        <v>172</v>
      </c>
      <c r="B5" t="s">
        <v>12</v>
      </c>
      <c r="C5" t="s">
        <v>13</v>
      </c>
      <c r="D5" t="s">
        <v>12</v>
      </c>
    </row>
    <row r="6" spans="1:4" x14ac:dyDescent="0.3">
      <c r="A6" t="s">
        <v>5</v>
      </c>
      <c r="B6" t="s">
        <v>12</v>
      </c>
      <c r="C6" t="s">
        <v>13</v>
      </c>
      <c r="D6" t="s">
        <v>12</v>
      </c>
    </row>
    <row r="7" spans="1:4" x14ac:dyDescent="0.3">
      <c r="A7" t="s">
        <v>201</v>
      </c>
      <c r="B7" t="s">
        <v>12</v>
      </c>
      <c r="C7" t="s">
        <v>13</v>
      </c>
      <c r="D7" t="s">
        <v>12</v>
      </c>
    </row>
    <row r="8" spans="1:4" x14ac:dyDescent="0.3">
      <c r="A8" t="s">
        <v>181</v>
      </c>
      <c r="C8" t="s">
        <v>12</v>
      </c>
      <c r="D8" t="s">
        <v>12</v>
      </c>
    </row>
    <row r="9" spans="1:4" x14ac:dyDescent="0.3">
      <c r="A9" t="s">
        <v>158</v>
      </c>
      <c r="C9" t="s">
        <v>12</v>
      </c>
      <c r="D9" t="s">
        <v>12</v>
      </c>
    </row>
    <row r="10" spans="1:4" x14ac:dyDescent="0.3">
      <c r="A10" t="s">
        <v>174</v>
      </c>
      <c r="B10" t="s">
        <v>13</v>
      </c>
      <c r="C10" t="s">
        <v>13</v>
      </c>
      <c r="D10" t="s">
        <v>12</v>
      </c>
    </row>
    <row r="11" spans="1:4" x14ac:dyDescent="0.3">
      <c r="A11" t="s">
        <v>188</v>
      </c>
      <c r="C11" t="s">
        <v>12</v>
      </c>
      <c r="D11" t="s">
        <v>12</v>
      </c>
    </row>
    <row r="12" spans="1:4" x14ac:dyDescent="0.3">
      <c r="A12" t="s">
        <v>185</v>
      </c>
      <c r="B12" t="s">
        <v>13</v>
      </c>
      <c r="C12" t="s">
        <v>13</v>
      </c>
      <c r="D12" t="s">
        <v>12</v>
      </c>
    </row>
    <row r="13" spans="1:4" x14ac:dyDescent="0.3">
      <c r="A13" t="s">
        <v>194</v>
      </c>
      <c r="B13" t="s">
        <v>12</v>
      </c>
      <c r="C13" t="s">
        <v>13</v>
      </c>
      <c r="D13" t="s">
        <v>13</v>
      </c>
    </row>
    <row r="14" spans="1:4" x14ac:dyDescent="0.3">
      <c r="A14" s="6" t="s">
        <v>178</v>
      </c>
      <c r="C14" t="s">
        <v>12</v>
      </c>
      <c r="D14" t="s">
        <v>12</v>
      </c>
    </row>
    <row r="15" spans="1:4" x14ac:dyDescent="0.3">
      <c r="A15" t="s">
        <v>175</v>
      </c>
      <c r="B15" t="s">
        <v>13</v>
      </c>
      <c r="C15" t="s">
        <v>13</v>
      </c>
      <c r="D15" t="s">
        <v>12</v>
      </c>
    </row>
    <row r="16" spans="1:4" x14ac:dyDescent="0.3">
      <c r="A16" t="s">
        <v>200</v>
      </c>
      <c r="B16" s="6"/>
      <c r="C16" t="s">
        <v>12</v>
      </c>
      <c r="D16" t="s">
        <v>12</v>
      </c>
    </row>
    <row r="17" spans="1:4" x14ac:dyDescent="0.3">
      <c r="A17" t="s">
        <v>195</v>
      </c>
      <c r="B17" t="s">
        <v>13</v>
      </c>
      <c r="C17" t="s">
        <v>13</v>
      </c>
      <c r="D17" t="s">
        <v>12</v>
      </c>
    </row>
    <row r="18" spans="1:4" x14ac:dyDescent="0.3">
      <c r="A18" t="s">
        <v>186</v>
      </c>
      <c r="C18" t="s">
        <v>12</v>
      </c>
      <c r="D18" t="s">
        <v>12</v>
      </c>
    </row>
    <row r="19" spans="1:4" x14ac:dyDescent="0.3">
      <c r="A19" t="s">
        <v>196</v>
      </c>
      <c r="C19" t="s">
        <v>12</v>
      </c>
      <c r="D19" t="s">
        <v>13</v>
      </c>
    </row>
    <row r="20" spans="1:4" x14ac:dyDescent="0.3">
      <c r="A20" t="s">
        <v>153</v>
      </c>
      <c r="B20" t="s">
        <v>12</v>
      </c>
      <c r="C20" t="s">
        <v>13</v>
      </c>
      <c r="D20" t="s">
        <v>12</v>
      </c>
    </row>
    <row r="21" spans="1:4" x14ac:dyDescent="0.3">
      <c r="A21" t="s">
        <v>171</v>
      </c>
      <c r="C21" t="s">
        <v>12</v>
      </c>
      <c r="D21" t="s">
        <v>12</v>
      </c>
    </row>
    <row r="22" spans="1:4" x14ac:dyDescent="0.3">
      <c r="A22" t="s">
        <v>184</v>
      </c>
      <c r="C22" t="s">
        <v>12</v>
      </c>
      <c r="D22" t="s">
        <v>12</v>
      </c>
    </row>
    <row r="23" spans="1:4" x14ac:dyDescent="0.3">
      <c r="A23" t="s">
        <v>198</v>
      </c>
      <c r="B23" t="s">
        <v>12</v>
      </c>
      <c r="C23" t="s">
        <v>13</v>
      </c>
      <c r="D23" t="s">
        <v>13</v>
      </c>
    </row>
    <row r="24" spans="1:4" x14ac:dyDescent="0.3">
      <c r="A24" t="s">
        <v>183</v>
      </c>
      <c r="C24" t="s">
        <v>12</v>
      </c>
      <c r="D24" t="s">
        <v>12</v>
      </c>
    </row>
    <row r="25" spans="1:4" x14ac:dyDescent="0.3">
      <c r="A25" t="s">
        <v>182</v>
      </c>
      <c r="C25" t="s">
        <v>12</v>
      </c>
      <c r="D25" t="s">
        <v>12</v>
      </c>
    </row>
    <row r="26" spans="1:4" x14ac:dyDescent="0.3">
      <c r="A26" t="s">
        <v>197</v>
      </c>
      <c r="C26" t="s">
        <v>12</v>
      </c>
      <c r="D26" t="s">
        <v>13</v>
      </c>
    </row>
    <row r="30" spans="1:4" x14ac:dyDescent="0.3">
      <c r="A30" s="6"/>
    </row>
  </sheetData>
  <autoFilter ref="A1:D26" xr:uid="{9E442A6E-7241-4627-A921-517808216F6C}"/>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dimension ref="A1:D46"/>
  <sheetViews>
    <sheetView workbookViewId="0">
      <selection activeCell="J3" sqref="J3:Q16"/>
    </sheetView>
  </sheetViews>
  <sheetFormatPr defaultRowHeight="14.4" x14ac:dyDescent="0.3"/>
  <cols>
    <col min="1" max="1" width="50.88671875" customWidth="1"/>
    <col min="2" max="2" width="33.77734375" customWidth="1"/>
    <col min="3" max="3" width="23.5546875" customWidth="1"/>
    <col min="10" max="10" width="18.6640625" customWidth="1"/>
  </cols>
  <sheetData>
    <row r="1" spans="1:4" s="1" customFormat="1" x14ac:dyDescent="0.3">
      <c r="A1" s="1" t="s">
        <v>10</v>
      </c>
      <c r="B1" s="1" t="s">
        <v>23</v>
      </c>
      <c r="C1" s="1" t="s">
        <v>11</v>
      </c>
      <c r="D1" s="1" t="s">
        <v>202</v>
      </c>
    </row>
    <row r="2" spans="1:4" x14ac:dyDescent="0.3">
      <c r="A2" t="s">
        <v>154</v>
      </c>
      <c r="C2" t="s">
        <v>12</v>
      </c>
      <c r="D2" t="s">
        <v>12</v>
      </c>
    </row>
    <row r="3" spans="1:4" x14ac:dyDescent="0.3">
      <c r="A3" t="s">
        <v>164</v>
      </c>
      <c r="C3" t="s">
        <v>12</v>
      </c>
      <c r="D3" t="s">
        <v>13</v>
      </c>
    </row>
    <row r="4" spans="1:4" x14ac:dyDescent="0.3">
      <c r="A4" t="s">
        <v>167</v>
      </c>
      <c r="C4" t="s">
        <v>12</v>
      </c>
      <c r="D4" t="s">
        <v>13</v>
      </c>
    </row>
    <row r="5" spans="1:4" x14ac:dyDescent="0.3">
      <c r="A5" t="s">
        <v>180</v>
      </c>
      <c r="C5" t="s">
        <v>12</v>
      </c>
      <c r="D5" t="s">
        <v>12</v>
      </c>
    </row>
    <row r="6" spans="1:4" x14ac:dyDescent="0.3">
      <c r="A6" t="s">
        <v>179</v>
      </c>
      <c r="C6" t="s">
        <v>12</v>
      </c>
      <c r="D6" t="s">
        <v>12</v>
      </c>
    </row>
    <row r="7" spans="1:4" x14ac:dyDescent="0.3">
      <c r="A7" t="s">
        <v>172</v>
      </c>
      <c r="B7" t="s">
        <v>12</v>
      </c>
      <c r="C7" t="s">
        <v>13</v>
      </c>
      <c r="D7" t="s">
        <v>12</v>
      </c>
    </row>
    <row r="8" spans="1:4" x14ac:dyDescent="0.3">
      <c r="A8" t="s">
        <v>5</v>
      </c>
      <c r="B8" t="s">
        <v>12</v>
      </c>
      <c r="C8" t="s">
        <v>13</v>
      </c>
      <c r="D8" t="s">
        <v>12</v>
      </c>
    </row>
    <row r="9" spans="1:4" x14ac:dyDescent="0.3">
      <c r="A9" t="s">
        <v>148</v>
      </c>
      <c r="B9" t="s">
        <v>12</v>
      </c>
      <c r="C9" t="s">
        <v>13</v>
      </c>
      <c r="D9" t="s">
        <v>13</v>
      </c>
    </row>
    <row r="10" spans="1:4" x14ac:dyDescent="0.3">
      <c r="A10" t="s">
        <v>177</v>
      </c>
      <c r="B10" t="s">
        <v>12</v>
      </c>
      <c r="C10" t="s">
        <v>13</v>
      </c>
      <c r="D10" t="s">
        <v>12</v>
      </c>
    </row>
    <row r="11" spans="1:4" x14ac:dyDescent="0.3">
      <c r="A11" t="s">
        <v>181</v>
      </c>
      <c r="C11" t="s">
        <v>12</v>
      </c>
      <c r="D11" t="s">
        <v>12</v>
      </c>
    </row>
    <row r="12" spans="1:4" x14ac:dyDescent="0.3">
      <c r="A12" t="s">
        <v>158</v>
      </c>
      <c r="C12" t="s">
        <v>12</v>
      </c>
      <c r="D12" t="s">
        <v>12</v>
      </c>
    </row>
    <row r="13" spans="1:4" x14ac:dyDescent="0.3">
      <c r="A13" t="s">
        <v>174</v>
      </c>
      <c r="B13" t="s">
        <v>13</v>
      </c>
      <c r="C13" t="s">
        <v>13</v>
      </c>
      <c r="D13" t="s">
        <v>12</v>
      </c>
    </row>
    <row r="14" spans="1:4" x14ac:dyDescent="0.3">
      <c r="A14" t="s">
        <v>188</v>
      </c>
      <c r="C14" t="s">
        <v>12</v>
      </c>
      <c r="D14" t="s">
        <v>12</v>
      </c>
    </row>
    <row r="15" spans="1:4" x14ac:dyDescent="0.3">
      <c r="A15" t="s">
        <v>176</v>
      </c>
      <c r="C15" t="s">
        <v>12</v>
      </c>
      <c r="D15" t="s">
        <v>13</v>
      </c>
    </row>
    <row r="16" spans="1:4" x14ac:dyDescent="0.3">
      <c r="A16" t="s">
        <v>185</v>
      </c>
      <c r="B16" t="s">
        <v>13</v>
      </c>
      <c r="C16" t="s">
        <v>13</v>
      </c>
      <c r="D16" t="s">
        <v>12</v>
      </c>
    </row>
    <row r="17" spans="1:4" x14ac:dyDescent="0.3">
      <c r="A17" t="s">
        <v>169</v>
      </c>
      <c r="B17" t="s">
        <v>13</v>
      </c>
      <c r="C17" t="s">
        <v>13</v>
      </c>
      <c r="D17" t="s">
        <v>13</v>
      </c>
    </row>
    <row r="18" spans="1:4" x14ac:dyDescent="0.3">
      <c r="A18" t="s">
        <v>178</v>
      </c>
      <c r="C18" t="s">
        <v>12</v>
      </c>
      <c r="D18" t="s">
        <v>12</v>
      </c>
    </row>
    <row r="19" spans="1:4" x14ac:dyDescent="0.3">
      <c r="A19" t="s">
        <v>156</v>
      </c>
      <c r="C19" t="s">
        <v>12</v>
      </c>
      <c r="D19" t="s">
        <v>13</v>
      </c>
    </row>
    <row r="20" spans="1:4" x14ac:dyDescent="0.3">
      <c r="A20" t="s">
        <v>190</v>
      </c>
      <c r="B20" t="s">
        <v>12</v>
      </c>
      <c r="C20" t="s">
        <v>13</v>
      </c>
      <c r="D20" t="s">
        <v>13</v>
      </c>
    </row>
    <row r="21" spans="1:4" x14ac:dyDescent="0.3">
      <c r="A21" t="s">
        <v>175</v>
      </c>
      <c r="B21" t="s">
        <v>13</v>
      </c>
      <c r="C21" t="s">
        <v>13</v>
      </c>
      <c r="D21" t="s">
        <v>12</v>
      </c>
    </row>
    <row r="22" spans="1:4" x14ac:dyDescent="0.3">
      <c r="A22" t="s">
        <v>200</v>
      </c>
      <c r="C22" t="s">
        <v>12</v>
      </c>
      <c r="D22" t="s">
        <v>12</v>
      </c>
    </row>
    <row r="23" spans="1:4" x14ac:dyDescent="0.3">
      <c r="A23" t="s">
        <v>162</v>
      </c>
      <c r="C23" t="s">
        <v>12</v>
      </c>
      <c r="D23" t="s">
        <v>13</v>
      </c>
    </row>
    <row r="24" spans="1:4" x14ac:dyDescent="0.3">
      <c r="A24" t="s">
        <v>163</v>
      </c>
      <c r="C24" t="s">
        <v>12</v>
      </c>
      <c r="D24" t="s">
        <v>13</v>
      </c>
    </row>
    <row r="25" spans="1:4" x14ac:dyDescent="0.3">
      <c r="A25" t="s">
        <v>192</v>
      </c>
      <c r="C25" t="s">
        <v>12</v>
      </c>
      <c r="D25" t="s">
        <v>13</v>
      </c>
    </row>
    <row r="26" spans="1:4" x14ac:dyDescent="0.3">
      <c r="A26" t="s">
        <v>152</v>
      </c>
      <c r="B26" t="s">
        <v>13</v>
      </c>
      <c r="C26" t="s">
        <v>13</v>
      </c>
      <c r="D26" t="s">
        <v>12</v>
      </c>
    </row>
    <row r="27" spans="1:4" x14ac:dyDescent="0.3">
      <c r="A27" t="s">
        <v>186</v>
      </c>
      <c r="C27" t="s">
        <v>12</v>
      </c>
      <c r="D27" t="s">
        <v>12</v>
      </c>
    </row>
    <row r="28" spans="1:4" x14ac:dyDescent="0.3">
      <c r="A28" t="s">
        <v>159</v>
      </c>
      <c r="C28" t="s">
        <v>12</v>
      </c>
      <c r="D28" t="s">
        <v>13</v>
      </c>
    </row>
    <row r="29" spans="1:4" x14ac:dyDescent="0.3">
      <c r="A29" t="s">
        <v>153</v>
      </c>
      <c r="B29" t="s">
        <v>12</v>
      </c>
      <c r="C29" t="s">
        <v>13</v>
      </c>
      <c r="D29" t="s">
        <v>12</v>
      </c>
    </row>
    <row r="30" spans="1:4" x14ac:dyDescent="0.3">
      <c r="A30" t="s">
        <v>157</v>
      </c>
      <c r="C30" t="s">
        <v>12</v>
      </c>
      <c r="D30" t="s">
        <v>13</v>
      </c>
    </row>
    <row r="31" spans="1:4" x14ac:dyDescent="0.3">
      <c r="A31" t="s">
        <v>189</v>
      </c>
      <c r="C31" t="s">
        <v>12</v>
      </c>
      <c r="D31" t="s">
        <v>13</v>
      </c>
    </row>
    <row r="32" spans="1:4" x14ac:dyDescent="0.3">
      <c r="A32" t="s">
        <v>193</v>
      </c>
      <c r="C32" t="s">
        <v>12</v>
      </c>
      <c r="D32" t="s">
        <v>13</v>
      </c>
    </row>
    <row r="33" spans="1:4" x14ac:dyDescent="0.3">
      <c r="A33" t="s">
        <v>165</v>
      </c>
      <c r="C33" t="s">
        <v>12</v>
      </c>
      <c r="D33" t="s">
        <v>13</v>
      </c>
    </row>
    <row r="34" spans="1:4" x14ac:dyDescent="0.3">
      <c r="A34" t="s">
        <v>166</v>
      </c>
      <c r="C34" t="s">
        <v>12</v>
      </c>
      <c r="D34" t="s">
        <v>13</v>
      </c>
    </row>
    <row r="35" spans="1:4" x14ac:dyDescent="0.3">
      <c r="A35" t="s">
        <v>173</v>
      </c>
      <c r="B35" t="s">
        <v>12</v>
      </c>
      <c r="C35" t="s">
        <v>13</v>
      </c>
      <c r="D35" t="s">
        <v>13</v>
      </c>
    </row>
    <row r="36" spans="1:4" x14ac:dyDescent="0.3">
      <c r="A36" t="s">
        <v>191</v>
      </c>
      <c r="C36" t="s">
        <v>12</v>
      </c>
      <c r="D36" t="s">
        <v>13</v>
      </c>
    </row>
    <row r="37" spans="1:4" x14ac:dyDescent="0.3">
      <c r="A37" t="s">
        <v>168</v>
      </c>
      <c r="B37" t="s">
        <v>12</v>
      </c>
      <c r="C37" t="s">
        <v>13</v>
      </c>
      <c r="D37" t="s">
        <v>13</v>
      </c>
    </row>
    <row r="38" spans="1:4" x14ac:dyDescent="0.3">
      <c r="A38" t="s">
        <v>155</v>
      </c>
      <c r="C38" t="s">
        <v>12</v>
      </c>
      <c r="D38" t="s">
        <v>13</v>
      </c>
    </row>
    <row r="39" spans="1:4" x14ac:dyDescent="0.3">
      <c r="A39" t="s">
        <v>171</v>
      </c>
      <c r="C39" t="s">
        <v>12</v>
      </c>
      <c r="D39" t="s">
        <v>12</v>
      </c>
    </row>
    <row r="40" spans="1:4" x14ac:dyDescent="0.3">
      <c r="A40" t="s">
        <v>170</v>
      </c>
      <c r="B40" t="s">
        <v>13</v>
      </c>
      <c r="C40" t="s">
        <v>13</v>
      </c>
      <c r="D40" t="s">
        <v>13</v>
      </c>
    </row>
    <row r="41" spans="1:4" x14ac:dyDescent="0.3">
      <c r="A41" t="s">
        <v>160</v>
      </c>
      <c r="C41" t="s">
        <v>12</v>
      </c>
      <c r="D41" t="s">
        <v>13</v>
      </c>
    </row>
    <row r="42" spans="1:4" x14ac:dyDescent="0.3">
      <c r="A42" t="s">
        <v>161</v>
      </c>
      <c r="C42" t="s">
        <v>12</v>
      </c>
      <c r="D42" t="s">
        <v>13</v>
      </c>
    </row>
    <row r="43" spans="1:4" x14ac:dyDescent="0.3">
      <c r="A43" t="s">
        <v>184</v>
      </c>
      <c r="C43" t="s">
        <v>12</v>
      </c>
      <c r="D43" t="s">
        <v>12</v>
      </c>
    </row>
    <row r="44" spans="1:4" x14ac:dyDescent="0.3">
      <c r="A44" t="s">
        <v>187</v>
      </c>
      <c r="C44" t="s">
        <v>12</v>
      </c>
      <c r="D44" t="s">
        <v>13</v>
      </c>
    </row>
    <row r="45" spans="1:4" x14ac:dyDescent="0.3">
      <c r="A45" t="s">
        <v>183</v>
      </c>
      <c r="C45" t="s">
        <v>12</v>
      </c>
      <c r="D45" t="s">
        <v>12</v>
      </c>
    </row>
    <row r="46" spans="1:4" x14ac:dyDescent="0.3">
      <c r="A46" t="s">
        <v>182</v>
      </c>
      <c r="C46" t="s">
        <v>12</v>
      </c>
      <c r="D46" t="s">
        <v>12</v>
      </c>
    </row>
  </sheetData>
  <autoFilter ref="A1:K46" xr:uid="{3EB86692-ED6C-4E09-B784-C7593FD87019}"/>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24C07-40AC-49C4-8219-B333B6A3F257}">
  <dimension ref="J8:T16"/>
  <sheetViews>
    <sheetView workbookViewId="0">
      <selection activeCell="L30" sqref="L30"/>
    </sheetView>
  </sheetViews>
  <sheetFormatPr defaultRowHeight="14.4" x14ac:dyDescent="0.3"/>
  <cols>
    <col min="10" max="10" width="53.21875" customWidth="1"/>
    <col min="11" max="11" width="21.88671875" customWidth="1"/>
    <col min="12" max="12" width="15.5546875" customWidth="1"/>
  </cols>
  <sheetData>
    <row r="8" spans="10:20" x14ac:dyDescent="0.3">
      <c r="J8" t="s">
        <v>204</v>
      </c>
      <c r="K8">
        <f>COUNTIF('Identified Tactics Source Code'!D:D,"No")+COUNTIF('Identified Tactics Source Code'!D:D,"Yes")+K11</f>
        <v>55</v>
      </c>
    </row>
    <row r="9" spans="10:20" x14ac:dyDescent="0.3">
      <c r="J9" t="s">
        <v>205</v>
      </c>
      <c r="K9">
        <f>COUNTIF('Identified Tactics Source Code'!D:D,"No")</f>
        <v>24</v>
      </c>
    </row>
    <row r="10" spans="10:20" x14ac:dyDescent="0.3">
      <c r="J10" t="s">
        <v>206</v>
      </c>
      <c r="K10" s="7">
        <f>COUNTIF('Identified Tactics Source Code'!D:D,"No")/K8</f>
        <v>0.43636363636363634</v>
      </c>
    </row>
    <row r="11" spans="10:20" x14ac:dyDescent="0.3">
      <c r="J11" t="s">
        <v>207</v>
      </c>
      <c r="K11">
        <f>COUNTIF('Identified Tactics Interview'!C:C,"No")</f>
        <v>10</v>
      </c>
    </row>
    <row r="12" spans="10:20" x14ac:dyDescent="0.3">
      <c r="J12" t="s">
        <v>208</v>
      </c>
      <c r="K12" s="7">
        <f>COUNTIF('Identified Tactics Interview'!C:C,"No")/K8</f>
        <v>0.18181818181818182</v>
      </c>
    </row>
    <row r="13" spans="10:20" x14ac:dyDescent="0.3">
      <c r="J13" t="s">
        <v>364</v>
      </c>
      <c r="K13" s="7">
        <f>COUNTIF('Identified Tactics Interview'!B1:B49,"Yes")/(COUNTIF('Identified Tactics Interview'!B1:B49,"Yes")+COUNTIF('Identified Tactics Interview'!B1:B49,"No"))</f>
        <v>0.6</v>
      </c>
    </row>
    <row r="14" spans="10:20" x14ac:dyDescent="0.3">
      <c r="J14" t="s">
        <v>209</v>
      </c>
      <c r="K14" s="7">
        <f>COUNTIF('Identified Tactics Source Code'!B2:B50,"Yes")/(COUNTIF('Identified Tactics Source Code'!B2:B50,"Yes")+COUNTIF('Identified Tactics Source Code'!B2:B50,"No"))</f>
        <v>0.5714285714285714</v>
      </c>
      <c r="T14" s="8"/>
    </row>
    <row r="15" spans="10:20" x14ac:dyDescent="0.3">
      <c r="J15" t="s">
        <v>210</v>
      </c>
      <c r="K15" s="7">
        <f>COUNTIF(QualityAttributes!G2:G57,"Yes")/(COUNTIF(QualityAttributes!G2:G57,"Yes")+COUNTIF(QualityAttributes!G2:G57,"No"))</f>
        <v>0.37931034482758619</v>
      </c>
    </row>
    <row r="16" spans="10:20" x14ac:dyDescent="0.3">
      <c r="J16" t="s">
        <v>211</v>
      </c>
      <c r="K16" s="7">
        <f>(K14/K15)</f>
        <v>1.5064935064935066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DAB83-8CF4-4D5F-A53A-0F034C58DBE9}">
  <dimension ref="A1:A7"/>
  <sheetViews>
    <sheetView workbookViewId="0">
      <selection activeCell="G6" sqref="G6:K12"/>
    </sheetView>
  </sheetViews>
  <sheetFormatPr defaultRowHeight="14.4" x14ac:dyDescent="0.3"/>
  <sheetData>
    <row r="1" spans="1:1" x14ac:dyDescent="0.3">
      <c r="A1" t="s">
        <v>10</v>
      </c>
    </row>
    <row r="2" spans="1:1" x14ac:dyDescent="0.3">
      <c r="A2" t="s">
        <v>174</v>
      </c>
    </row>
    <row r="3" spans="1:1" x14ac:dyDescent="0.3">
      <c r="A3" t="s">
        <v>185</v>
      </c>
    </row>
    <row r="4" spans="1:1" x14ac:dyDescent="0.3">
      <c r="A4" t="s">
        <v>169</v>
      </c>
    </row>
    <row r="5" spans="1:1" x14ac:dyDescent="0.3">
      <c r="A5" t="s">
        <v>175</v>
      </c>
    </row>
    <row r="6" spans="1:1" x14ac:dyDescent="0.3">
      <c r="A6" t="s">
        <v>152</v>
      </c>
    </row>
    <row r="7" spans="1:1" x14ac:dyDescent="0.3">
      <c r="A7" t="s">
        <v>170</v>
      </c>
    </row>
  </sheetData>
  <autoFilter ref="A1:A17" xr:uid="{83805A76-F129-4B88-BDF5-6FC875F1ABB7}">
    <sortState xmlns:xlrd2="http://schemas.microsoft.com/office/spreadsheetml/2017/richdata2" ref="A2:A8">
      <sortCondition ref="A1:A17"/>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7E4E1-47E3-4AE7-A9B5-37FBEA26F9B9}">
  <sheetPr filterMode="1"/>
  <dimension ref="A1:AE5101"/>
  <sheetViews>
    <sheetView workbookViewId="0">
      <selection activeCell="AC379" sqref="AC379"/>
    </sheetView>
  </sheetViews>
  <sheetFormatPr defaultRowHeight="14.4" x14ac:dyDescent="0.3"/>
  <sheetData>
    <row r="1" spans="1:17" x14ac:dyDescent="0.3">
      <c r="A1" t="s">
        <v>223</v>
      </c>
      <c r="B1" t="s">
        <v>224</v>
      </c>
      <c r="C1" t="s">
        <v>225</v>
      </c>
      <c r="D1" t="s">
        <v>226</v>
      </c>
      <c r="E1" t="s">
        <v>227</v>
      </c>
      <c r="F1" t="s">
        <v>228</v>
      </c>
      <c r="G1" t="s">
        <v>229</v>
      </c>
      <c r="H1" t="s">
        <v>230</v>
      </c>
      <c r="I1" t="s">
        <v>231</v>
      </c>
      <c r="J1" t="s">
        <v>232</v>
      </c>
      <c r="K1" t="s">
        <v>233</v>
      </c>
      <c r="L1" t="s">
        <v>234</v>
      </c>
      <c r="M1" t="s">
        <v>235</v>
      </c>
      <c r="N1" t="s">
        <v>236</v>
      </c>
      <c r="O1" t="s">
        <v>237</v>
      </c>
      <c r="P1" t="s">
        <v>238</v>
      </c>
      <c r="Q1" t="s">
        <v>239</v>
      </c>
    </row>
    <row r="2" spans="1:17" hidden="1" x14ac:dyDescent="0.3">
      <c r="A2" t="s">
        <v>79</v>
      </c>
      <c r="B2" t="s">
        <v>240</v>
      </c>
      <c r="C2">
        <v>26</v>
      </c>
      <c r="D2">
        <v>2</v>
      </c>
      <c r="E2">
        <v>43</v>
      </c>
      <c r="F2">
        <v>146</v>
      </c>
      <c r="G2">
        <v>217</v>
      </c>
      <c r="H2">
        <v>69</v>
      </c>
      <c r="I2">
        <v>28</v>
      </c>
      <c r="J2">
        <v>0.94661905668374002</v>
      </c>
      <c r="K2">
        <v>1.4064389272123501</v>
      </c>
      <c r="L2">
        <v>0.50467127805730805</v>
      </c>
      <c r="M2" s="9">
        <v>5.5773032164722904E-13</v>
      </c>
      <c r="N2">
        <v>0.60640732265446196</v>
      </c>
      <c r="O2">
        <v>0.50467127805730805</v>
      </c>
      <c r="P2">
        <v>0.52588408845363299</v>
      </c>
      <c r="Q2">
        <v>0.55553930035588495</v>
      </c>
    </row>
    <row r="3" spans="1:17" hidden="1" x14ac:dyDescent="0.3">
      <c r="A3" t="s">
        <v>36</v>
      </c>
      <c r="B3" t="s">
        <v>241</v>
      </c>
      <c r="C3">
        <v>9</v>
      </c>
      <c r="D3">
        <v>1</v>
      </c>
      <c r="E3">
        <v>12</v>
      </c>
      <c r="F3">
        <v>195</v>
      </c>
      <c r="G3">
        <v>217</v>
      </c>
      <c r="H3">
        <v>21</v>
      </c>
      <c r="I3">
        <v>10</v>
      </c>
      <c r="J3">
        <v>0.61943252429010798</v>
      </c>
      <c r="K3">
        <v>2.7424516278195399</v>
      </c>
      <c r="L3">
        <v>0.59713775543404002</v>
      </c>
      <c r="M3" s="9">
        <v>1.1212986632139299E-9</v>
      </c>
      <c r="N3">
        <v>0.87897125567322199</v>
      </c>
      <c r="O3">
        <v>0.59713775543404002</v>
      </c>
      <c r="P3">
        <v>0.45717496543877301</v>
      </c>
      <c r="Q3">
        <v>0.73805450555363095</v>
      </c>
    </row>
    <row r="4" spans="1:17" hidden="1" x14ac:dyDescent="0.3">
      <c r="A4" t="s">
        <v>38</v>
      </c>
      <c r="B4" t="s">
        <v>242</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44</v>
      </c>
      <c r="B5" t="s">
        <v>243</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42</v>
      </c>
      <c r="B6" t="s">
        <v>1</v>
      </c>
      <c r="C6">
        <v>35</v>
      </c>
      <c r="D6">
        <v>5</v>
      </c>
      <c r="E6">
        <v>83</v>
      </c>
      <c r="F6">
        <v>94</v>
      </c>
      <c r="G6">
        <v>217</v>
      </c>
      <c r="H6">
        <v>118</v>
      </c>
      <c r="I6">
        <v>40</v>
      </c>
      <c r="J6">
        <v>0.989746646026056</v>
      </c>
      <c r="K6">
        <v>0.62377773215270804</v>
      </c>
      <c r="L6">
        <v>0.31612774921813203</v>
      </c>
      <c r="M6" s="9">
        <v>2.3144471872870201E-6</v>
      </c>
      <c r="N6">
        <v>0.30215449290593699</v>
      </c>
      <c r="O6">
        <v>0.31612774921813203</v>
      </c>
      <c r="P6">
        <v>0.30597138771988402</v>
      </c>
      <c r="Q6">
        <v>0.30914112106203501</v>
      </c>
    </row>
    <row r="7" spans="1:17" hidden="1" x14ac:dyDescent="0.3">
      <c r="A7" t="s">
        <v>50</v>
      </c>
      <c r="B7" t="s">
        <v>244</v>
      </c>
      <c r="C7">
        <v>4</v>
      </c>
      <c r="D7">
        <v>7</v>
      </c>
      <c r="E7">
        <v>2</v>
      </c>
      <c r="F7">
        <v>204</v>
      </c>
      <c r="G7">
        <v>217</v>
      </c>
      <c r="H7">
        <v>6</v>
      </c>
      <c r="I7">
        <v>11</v>
      </c>
      <c r="J7">
        <v>0.418184888938118</v>
      </c>
      <c r="K7">
        <v>3.6231280765511502</v>
      </c>
      <c r="L7">
        <v>0.473508263630322</v>
      </c>
      <c r="M7" s="9">
        <v>5.2224757006037201E-5</v>
      </c>
      <c r="N7">
        <v>0.94799054373522396</v>
      </c>
      <c r="O7">
        <v>0.473508263630322</v>
      </c>
      <c r="P7">
        <v>0.29722466044191398</v>
      </c>
      <c r="Q7">
        <v>0.71074940368277295</v>
      </c>
    </row>
    <row r="8" spans="1:17" hidden="1" x14ac:dyDescent="0.3">
      <c r="A8" t="s">
        <v>42</v>
      </c>
      <c r="B8" t="s">
        <v>3</v>
      </c>
      <c r="C8">
        <v>22</v>
      </c>
      <c r="D8">
        <v>1</v>
      </c>
      <c r="E8">
        <v>96</v>
      </c>
      <c r="F8">
        <v>98</v>
      </c>
      <c r="G8">
        <v>217</v>
      </c>
      <c r="H8">
        <v>118</v>
      </c>
      <c r="I8">
        <v>23</v>
      </c>
      <c r="J8">
        <v>0.96897838338577003</v>
      </c>
      <c r="K8">
        <v>0.65905820502465795</v>
      </c>
      <c r="L8">
        <v>0.28532763485436202</v>
      </c>
      <c r="M8" s="9">
        <v>8.7214867233189092E-6</v>
      </c>
      <c r="N8">
        <v>0.31809759110562003</v>
      </c>
      <c r="O8">
        <v>0.28532763485436202</v>
      </c>
      <c r="P8">
        <v>0.29235299997244801</v>
      </c>
      <c r="Q8">
        <v>0.30171261297999102</v>
      </c>
    </row>
    <row r="9" spans="1:17" hidden="1" x14ac:dyDescent="0.3">
      <c r="A9" t="s">
        <v>83</v>
      </c>
      <c r="B9" t="s">
        <v>201</v>
      </c>
      <c r="C9">
        <v>4</v>
      </c>
      <c r="D9">
        <v>0</v>
      </c>
      <c r="E9">
        <v>10</v>
      </c>
      <c r="F9">
        <v>203</v>
      </c>
      <c r="G9">
        <v>217</v>
      </c>
      <c r="H9">
        <v>14</v>
      </c>
      <c r="I9">
        <v>4</v>
      </c>
      <c r="J9">
        <v>0.392794291485069</v>
      </c>
      <c r="K9">
        <v>3.0587070727153698</v>
      </c>
      <c r="L9">
        <v>0.52182417487460997</v>
      </c>
      <c r="M9" s="9">
        <v>1.11398566152441E-5</v>
      </c>
      <c r="N9">
        <v>0.910313901345291</v>
      </c>
      <c r="O9">
        <v>0.52182417487460997</v>
      </c>
      <c r="P9">
        <v>0.281267830478793</v>
      </c>
      <c r="Q9">
        <v>0.71606903810995104</v>
      </c>
    </row>
    <row r="10" spans="1:17" hidden="1" x14ac:dyDescent="0.3">
      <c r="A10" t="s">
        <v>75</v>
      </c>
      <c r="B10" t="s">
        <v>245</v>
      </c>
      <c r="C10">
        <v>4</v>
      </c>
      <c r="D10">
        <v>0</v>
      </c>
      <c r="E10">
        <v>7</v>
      </c>
      <c r="F10">
        <v>206</v>
      </c>
      <c r="G10">
        <v>217</v>
      </c>
      <c r="H10">
        <v>11</v>
      </c>
      <c r="I10">
        <v>4</v>
      </c>
      <c r="J10">
        <v>0.35738959391717101</v>
      </c>
      <c r="K10">
        <v>3.4153820166541098</v>
      </c>
      <c r="L10">
        <v>0.59303108924628301</v>
      </c>
      <c r="M10" s="9">
        <v>3.67248020282774E-6</v>
      </c>
      <c r="N10">
        <v>0.93636363636363595</v>
      </c>
      <c r="O10">
        <v>0.59303108924628301</v>
      </c>
      <c r="P10">
        <v>0.27329487996239599</v>
      </c>
      <c r="Q10">
        <v>0.76469736280495904</v>
      </c>
    </row>
    <row r="11" spans="1:17" hidden="1" x14ac:dyDescent="0.3">
      <c r="A11" t="s">
        <v>79</v>
      </c>
      <c r="B11" t="s">
        <v>246</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40</v>
      </c>
      <c r="B12" t="s">
        <v>247</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40</v>
      </c>
      <c r="B13" t="s">
        <v>248</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36</v>
      </c>
      <c r="B14" t="s">
        <v>249</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38</v>
      </c>
      <c r="B15" t="s">
        <v>247</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32</v>
      </c>
      <c r="B16" t="s">
        <v>1</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44</v>
      </c>
      <c r="B17" t="s">
        <v>168</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40</v>
      </c>
      <c r="B18" t="s">
        <v>168</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hidden="1" x14ac:dyDescent="0.3">
      <c r="A19" t="s">
        <v>40</v>
      </c>
      <c r="B19" t="s">
        <v>220</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79</v>
      </c>
      <c r="B20" t="s">
        <v>250</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118</v>
      </c>
      <c r="B21" t="s">
        <v>251</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127</v>
      </c>
      <c r="B22" t="s">
        <v>168</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107</v>
      </c>
      <c r="B23" t="s">
        <v>5</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127</v>
      </c>
      <c r="B24" t="s">
        <v>201</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50</v>
      </c>
      <c r="B25" t="s">
        <v>252</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44</v>
      </c>
      <c r="B26" t="s">
        <v>244</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36</v>
      </c>
      <c r="B27" t="s">
        <v>247</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125</v>
      </c>
      <c r="B28" t="s">
        <v>5</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127</v>
      </c>
      <c r="B29" t="s">
        <v>253</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83</v>
      </c>
      <c r="B30" t="s">
        <v>254</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83</v>
      </c>
      <c r="B31" t="s">
        <v>255</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44</v>
      </c>
      <c r="B32" t="s">
        <v>256</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103</v>
      </c>
      <c r="B33" t="s">
        <v>5</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x14ac:dyDescent="0.3">
      <c r="A34" t="s">
        <v>75</v>
      </c>
      <c r="B34" t="s">
        <v>257</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118</v>
      </c>
      <c r="B35" t="s">
        <v>245</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36</v>
      </c>
      <c r="B36" t="s">
        <v>198</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36</v>
      </c>
      <c r="B37" t="s">
        <v>258</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36</v>
      </c>
      <c r="B38" t="s">
        <v>259</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44</v>
      </c>
      <c r="B39" t="s">
        <v>260</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hidden="1" x14ac:dyDescent="0.3">
      <c r="A40" t="s">
        <v>44</v>
      </c>
      <c r="B40" t="s">
        <v>213</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hidden="1" x14ac:dyDescent="0.3">
      <c r="A41" t="s">
        <v>44</v>
      </c>
      <c r="B41" t="s">
        <v>153</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50</v>
      </c>
      <c r="B42" t="s">
        <v>172</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83</v>
      </c>
      <c r="B43" t="s">
        <v>244</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hidden="1" x14ac:dyDescent="0.3">
      <c r="A44" t="s">
        <v>116</v>
      </c>
      <c r="B44" t="s">
        <v>219</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38</v>
      </c>
      <c r="B45" t="s">
        <v>1</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40</v>
      </c>
      <c r="B46" t="s">
        <v>261</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40</v>
      </c>
      <c r="B47" t="s">
        <v>201</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40</v>
      </c>
      <c r="B48" t="s">
        <v>242</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40</v>
      </c>
      <c r="B49" t="s">
        <v>244</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79</v>
      </c>
      <c r="B50" t="s">
        <v>147</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36</v>
      </c>
      <c r="B51" t="s">
        <v>262</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36</v>
      </c>
      <c r="B52" t="s">
        <v>263</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32</v>
      </c>
      <c r="B53" t="s">
        <v>9</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hidden="1" x14ac:dyDescent="0.3">
      <c r="A54" t="s">
        <v>44</v>
      </c>
      <c r="B54" t="s">
        <v>264</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83</v>
      </c>
      <c r="B55" t="s">
        <v>168</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40</v>
      </c>
      <c r="B56" t="s">
        <v>256</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125</v>
      </c>
      <c r="B57" t="s">
        <v>265</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42</v>
      </c>
      <c r="B58" t="s">
        <v>248</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42</v>
      </c>
      <c r="B59" t="s">
        <v>247</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42</v>
      </c>
      <c r="B60" t="s">
        <v>266</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118</v>
      </c>
      <c r="B61" t="s">
        <v>241</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118</v>
      </c>
      <c r="B62" t="s">
        <v>267</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118</v>
      </c>
      <c r="B63" t="s">
        <v>268</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38</v>
      </c>
      <c r="B64" t="s">
        <v>256</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79</v>
      </c>
      <c r="B65" t="s">
        <v>269</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40</v>
      </c>
      <c r="B66" t="s">
        <v>270</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hidden="1" x14ac:dyDescent="0.3">
      <c r="A67" t="s">
        <v>40</v>
      </c>
      <c r="B67" t="s">
        <v>214</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36</v>
      </c>
      <c r="B68" t="s">
        <v>271</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32</v>
      </c>
      <c r="B69" t="s">
        <v>168</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32</v>
      </c>
      <c r="B70" t="s">
        <v>272</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75</v>
      </c>
      <c r="B71" t="s">
        <v>267</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42</v>
      </c>
      <c r="B72" t="s">
        <v>272</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42</v>
      </c>
      <c r="B73" t="s">
        <v>273</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42</v>
      </c>
      <c r="B74" t="s">
        <v>274</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40</v>
      </c>
      <c r="B75" t="s">
        <v>271</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40</v>
      </c>
      <c r="B76" t="s">
        <v>274</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116</v>
      </c>
      <c r="B77" t="s">
        <v>242</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124</v>
      </c>
      <c r="B78" t="s">
        <v>275</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70</v>
      </c>
      <c r="B79" t="s">
        <v>194</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42</v>
      </c>
      <c r="B80" t="s">
        <v>194</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79</v>
      </c>
      <c r="B81" t="s">
        <v>148</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hidden="1" x14ac:dyDescent="0.3">
      <c r="A82" t="s">
        <v>79</v>
      </c>
      <c r="B82" t="s">
        <v>190</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79</v>
      </c>
      <c r="B83" t="s">
        <v>173</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79</v>
      </c>
      <c r="B84" t="s">
        <v>276</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79</v>
      </c>
      <c r="B85" t="s">
        <v>198</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42</v>
      </c>
      <c r="B86" t="s">
        <v>242</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40</v>
      </c>
      <c r="B87" t="s">
        <v>1</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44</v>
      </c>
      <c r="B88" t="s">
        <v>247</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97</v>
      </c>
      <c r="B89" t="s">
        <v>5</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52</v>
      </c>
      <c r="B90" t="s">
        <v>261</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127</v>
      </c>
      <c r="B91" t="s">
        <v>260</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hidden="1" x14ac:dyDescent="0.3">
      <c r="A92" t="s">
        <v>103</v>
      </c>
      <c r="B92" t="s">
        <v>153</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hidden="1" x14ac:dyDescent="0.3">
      <c r="A93" t="s">
        <v>127</v>
      </c>
      <c r="B93" t="s">
        <v>213</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127</v>
      </c>
      <c r="B94" t="s">
        <v>277</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x14ac:dyDescent="0.3">
      <c r="A95" t="s">
        <v>52</v>
      </c>
      <c r="B95" t="s">
        <v>169</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hidden="1" x14ac:dyDescent="0.3">
      <c r="A96" t="s">
        <v>120</v>
      </c>
      <c r="B96" t="s">
        <v>190</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hidden="1" x14ac:dyDescent="0.3">
      <c r="A97" t="s">
        <v>97</v>
      </c>
      <c r="B97" t="s">
        <v>153</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52</v>
      </c>
      <c r="B98" t="s">
        <v>278</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hidden="1" x14ac:dyDescent="0.3">
      <c r="A99" t="s">
        <v>107</v>
      </c>
      <c r="B99" t="s">
        <v>279</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107</v>
      </c>
      <c r="B100" t="s">
        <v>280</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107</v>
      </c>
      <c r="B101" t="s">
        <v>281</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107</v>
      </c>
      <c r="B102" t="s">
        <v>282</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hidden="1" x14ac:dyDescent="0.3">
      <c r="A103" t="s">
        <v>127</v>
      </c>
      <c r="B103" t="s">
        <v>264</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103</v>
      </c>
      <c r="B104" t="s">
        <v>262</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81</v>
      </c>
      <c r="B105" t="s">
        <v>283</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81</v>
      </c>
      <c r="B106" t="s">
        <v>284</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x14ac:dyDescent="0.3">
      <c r="A107" t="s">
        <v>50</v>
      </c>
      <c r="B107" t="s">
        <v>152</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hidden="1" x14ac:dyDescent="0.3">
      <c r="A108" t="s">
        <v>50</v>
      </c>
      <c r="B108" t="s">
        <v>285</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50</v>
      </c>
      <c r="B109" t="s">
        <v>286</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287</v>
      </c>
      <c r="B110" t="s">
        <v>247</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125</v>
      </c>
      <c r="B111" t="s">
        <v>288</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x14ac:dyDescent="0.3">
      <c r="A112" t="s">
        <v>125</v>
      </c>
      <c r="B112" t="s">
        <v>175</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31" hidden="1" x14ac:dyDescent="0.3">
      <c r="A113" t="s">
        <v>125</v>
      </c>
      <c r="B113" t="s">
        <v>281</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31" hidden="1" x14ac:dyDescent="0.3">
      <c r="A114" t="s">
        <v>118</v>
      </c>
      <c r="B114" t="s">
        <v>289</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31" hidden="1" x14ac:dyDescent="0.3">
      <c r="A115" t="s">
        <v>118</v>
      </c>
      <c r="B115" t="s">
        <v>290</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31" hidden="1" x14ac:dyDescent="0.3">
      <c r="A116" t="s">
        <v>118</v>
      </c>
      <c r="B116" t="s">
        <v>291</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31" hidden="1" x14ac:dyDescent="0.3">
      <c r="A117" t="s">
        <v>103</v>
      </c>
      <c r="B117" t="s">
        <v>279</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31" hidden="1" x14ac:dyDescent="0.3">
      <c r="A118" t="s">
        <v>127</v>
      </c>
      <c r="B118" t="s">
        <v>292</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31" hidden="1" x14ac:dyDescent="0.3">
      <c r="A119" t="s">
        <v>103</v>
      </c>
      <c r="B119" t="s">
        <v>288</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31" hidden="1" x14ac:dyDescent="0.3">
      <c r="A120" t="s">
        <v>127</v>
      </c>
      <c r="B120" t="s">
        <v>283</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31" hidden="1" x14ac:dyDescent="0.3">
      <c r="A121" t="s">
        <v>103</v>
      </c>
      <c r="B121" t="s">
        <v>281</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31" x14ac:dyDescent="0.3">
      <c r="A122" t="s">
        <v>103</v>
      </c>
      <c r="B122" t="s">
        <v>175</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31" hidden="1" x14ac:dyDescent="0.3">
      <c r="A123" t="s">
        <v>107</v>
      </c>
      <c r="B123" t="s">
        <v>293</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31" hidden="1" x14ac:dyDescent="0.3">
      <c r="A124" t="s">
        <v>107</v>
      </c>
      <c r="B124" t="s">
        <v>153</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c r="AE124" t="s">
        <v>294</v>
      </c>
    </row>
    <row r="125" spans="1:31" hidden="1" x14ac:dyDescent="0.3">
      <c r="A125" t="s">
        <v>295</v>
      </c>
      <c r="B125" t="s">
        <v>258</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31" hidden="1" x14ac:dyDescent="0.3">
      <c r="A126" t="s">
        <v>127</v>
      </c>
      <c r="B126" t="s">
        <v>296</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31" hidden="1" x14ac:dyDescent="0.3">
      <c r="A127" t="s">
        <v>127</v>
      </c>
      <c r="B127" t="s">
        <v>261</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31" hidden="1" x14ac:dyDescent="0.3">
      <c r="A128" t="s">
        <v>120</v>
      </c>
      <c r="B128" t="s">
        <v>297</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31" hidden="1" x14ac:dyDescent="0.3">
      <c r="A129" t="s">
        <v>97</v>
      </c>
      <c r="B129" t="s">
        <v>212</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c r="AE129" t="s">
        <v>298</v>
      </c>
    </row>
    <row r="130" spans="1:31" hidden="1" x14ac:dyDescent="0.3">
      <c r="A130" t="s">
        <v>97</v>
      </c>
      <c r="B130" t="s">
        <v>281</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31" hidden="1" x14ac:dyDescent="0.3">
      <c r="A131" t="s">
        <v>120</v>
      </c>
      <c r="B131" t="s">
        <v>299</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31" hidden="1" x14ac:dyDescent="0.3">
      <c r="A132" t="s">
        <v>287</v>
      </c>
      <c r="B132" t="s">
        <v>194</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31" hidden="1" x14ac:dyDescent="0.3">
      <c r="A133" t="s">
        <v>124</v>
      </c>
      <c r="B133" t="s">
        <v>290</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31" hidden="1" x14ac:dyDescent="0.3">
      <c r="A134" t="s">
        <v>124</v>
      </c>
      <c r="B134" t="s">
        <v>300</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31" hidden="1" x14ac:dyDescent="0.3">
      <c r="A135" t="s">
        <v>124</v>
      </c>
      <c r="B135" t="s">
        <v>301</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31" hidden="1" x14ac:dyDescent="0.3">
      <c r="A136" t="s">
        <v>124</v>
      </c>
      <c r="B136" t="s">
        <v>302</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31" hidden="1" x14ac:dyDescent="0.3">
      <c r="A137" t="s">
        <v>124</v>
      </c>
      <c r="B137" t="s">
        <v>303</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31" hidden="1" x14ac:dyDescent="0.3">
      <c r="A138" t="s">
        <v>116</v>
      </c>
      <c r="B138" t="s">
        <v>297</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31" hidden="1" x14ac:dyDescent="0.3">
      <c r="A139" t="s">
        <v>116</v>
      </c>
      <c r="B139" t="s">
        <v>304</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31" hidden="1" x14ac:dyDescent="0.3">
      <c r="A140" t="s">
        <v>124</v>
      </c>
      <c r="B140" t="s">
        <v>305</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31" hidden="1" x14ac:dyDescent="0.3">
      <c r="A141" t="s">
        <v>75</v>
      </c>
      <c r="B141" t="s">
        <v>306</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31" hidden="1" x14ac:dyDescent="0.3">
      <c r="A142" t="s">
        <v>75</v>
      </c>
      <c r="B142" t="s">
        <v>307</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31" hidden="1" x14ac:dyDescent="0.3">
      <c r="A143" t="s">
        <v>75</v>
      </c>
      <c r="B143" t="s">
        <v>308</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31" hidden="1" x14ac:dyDescent="0.3">
      <c r="A144" t="s">
        <v>75</v>
      </c>
      <c r="B144" t="s">
        <v>309</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31" hidden="1" x14ac:dyDescent="0.3">
      <c r="A145" t="s">
        <v>75</v>
      </c>
      <c r="B145" t="s">
        <v>289</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31" hidden="1" x14ac:dyDescent="0.3">
      <c r="A146" t="s">
        <v>75</v>
      </c>
      <c r="B146" t="s">
        <v>290</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31" hidden="1" x14ac:dyDescent="0.3">
      <c r="A147" t="s">
        <v>124</v>
      </c>
      <c r="B147" t="s">
        <v>289</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31" hidden="1" x14ac:dyDescent="0.3">
      <c r="A148" t="s">
        <v>81</v>
      </c>
      <c r="B148" t="s">
        <v>255</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31" hidden="1" x14ac:dyDescent="0.3">
      <c r="A149" t="s">
        <v>52</v>
      </c>
      <c r="B149" t="s">
        <v>253</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31" hidden="1" x14ac:dyDescent="0.3">
      <c r="A150" t="s">
        <v>125</v>
      </c>
      <c r="B150" t="s">
        <v>148</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31" hidden="1" x14ac:dyDescent="0.3">
      <c r="A151" t="s">
        <v>125</v>
      </c>
      <c r="B151" t="s">
        <v>153</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c r="AE151" t="s">
        <v>40</v>
      </c>
    </row>
    <row r="152" spans="1:31" hidden="1" x14ac:dyDescent="0.3">
      <c r="A152" t="s">
        <v>295</v>
      </c>
      <c r="B152" t="s">
        <v>263</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31" hidden="1" x14ac:dyDescent="0.3">
      <c r="A153" t="s">
        <v>107</v>
      </c>
      <c r="B153" t="s">
        <v>252</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31" hidden="1" x14ac:dyDescent="0.3">
      <c r="A154" t="s">
        <v>107</v>
      </c>
      <c r="B154" t="s">
        <v>262</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31" hidden="1" x14ac:dyDescent="0.3">
      <c r="A155" t="s">
        <v>32</v>
      </c>
      <c r="B155" t="s">
        <v>310</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31" hidden="1" x14ac:dyDescent="0.3">
      <c r="A156" t="s">
        <v>83</v>
      </c>
      <c r="B156" t="s">
        <v>311</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31" hidden="1" x14ac:dyDescent="0.3">
      <c r="A157" t="s">
        <v>83</v>
      </c>
      <c r="B157" t="s">
        <v>312</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31" hidden="1" x14ac:dyDescent="0.3">
      <c r="A158" t="s">
        <v>83</v>
      </c>
      <c r="B158" t="s">
        <v>283</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31" hidden="1" x14ac:dyDescent="0.3">
      <c r="A159" t="s">
        <v>83</v>
      </c>
      <c r="B159" t="s">
        <v>313</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31" hidden="1" x14ac:dyDescent="0.3">
      <c r="A160" t="s">
        <v>70</v>
      </c>
      <c r="B160" t="s">
        <v>307</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38</v>
      </c>
      <c r="B161" t="s">
        <v>314</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38</v>
      </c>
      <c r="B162" t="s">
        <v>315</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70</v>
      </c>
      <c r="B163" t="s">
        <v>304</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x14ac:dyDescent="0.3">
      <c r="A164" t="s">
        <v>70</v>
      </c>
      <c r="B164" t="s">
        <v>175</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70</v>
      </c>
      <c r="B165" t="s">
        <v>288</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x14ac:dyDescent="0.3">
      <c r="A166" t="s">
        <v>38</v>
      </c>
      <c r="B166" t="s">
        <v>170</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70</v>
      </c>
      <c r="B167" t="s">
        <v>301</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38</v>
      </c>
      <c r="B168" t="s">
        <v>316</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118</v>
      </c>
      <c r="B169" t="s">
        <v>198</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118</v>
      </c>
      <c r="B170" t="s">
        <v>259</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38</v>
      </c>
      <c r="B171" t="s">
        <v>267</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70</v>
      </c>
      <c r="B172" t="s">
        <v>267</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124</v>
      </c>
      <c r="B173" t="s">
        <v>240</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287</v>
      </c>
      <c r="B174" t="s">
        <v>265</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120</v>
      </c>
      <c r="B175" t="s">
        <v>265</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52</v>
      </c>
      <c r="B176" t="s">
        <v>244</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31" hidden="1" x14ac:dyDescent="0.3">
      <c r="A177" t="s">
        <v>42</v>
      </c>
      <c r="B177" t="s">
        <v>317</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31" hidden="1" x14ac:dyDescent="0.3">
      <c r="A178" t="s">
        <v>42</v>
      </c>
      <c r="B178" t="s">
        <v>310</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31" hidden="1" x14ac:dyDescent="0.3">
      <c r="A179" t="s">
        <v>103</v>
      </c>
      <c r="B179" t="s">
        <v>172</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31" hidden="1" x14ac:dyDescent="0.3">
      <c r="A180" t="s">
        <v>295</v>
      </c>
      <c r="B180" t="s">
        <v>201</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31" hidden="1" x14ac:dyDescent="0.3">
      <c r="A181" t="s">
        <v>107</v>
      </c>
      <c r="B181" t="s">
        <v>318</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31" hidden="1" x14ac:dyDescent="0.3">
      <c r="A182" t="s">
        <v>125</v>
      </c>
      <c r="B182" t="s">
        <v>262</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31" hidden="1" x14ac:dyDescent="0.3">
      <c r="A183" t="s">
        <v>36</v>
      </c>
      <c r="B183" t="s">
        <v>306</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31" hidden="1" x14ac:dyDescent="0.3">
      <c r="A184" t="s">
        <v>36</v>
      </c>
      <c r="B184" t="s">
        <v>291</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31" hidden="1" x14ac:dyDescent="0.3">
      <c r="A185" t="s">
        <v>36</v>
      </c>
      <c r="B185" t="s">
        <v>315</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31" hidden="1" x14ac:dyDescent="0.3">
      <c r="A186" t="s">
        <v>36</v>
      </c>
      <c r="B186" t="s">
        <v>308</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31" hidden="1" x14ac:dyDescent="0.3">
      <c r="A187" t="s">
        <v>36</v>
      </c>
      <c r="B187" t="s">
        <v>212</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c r="AE187" t="s">
        <v>116</v>
      </c>
    </row>
    <row r="188" spans="1:31" hidden="1" x14ac:dyDescent="0.3">
      <c r="A188" t="s">
        <v>36</v>
      </c>
      <c r="B188" t="s">
        <v>319</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31" x14ac:dyDescent="0.3">
      <c r="A189" t="s">
        <v>36</v>
      </c>
      <c r="B189" t="s">
        <v>170</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31" hidden="1" x14ac:dyDescent="0.3">
      <c r="A190" t="s">
        <v>36</v>
      </c>
      <c r="B190" t="s">
        <v>320</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31" hidden="1" x14ac:dyDescent="0.3">
      <c r="A191" t="s">
        <v>36</v>
      </c>
      <c r="B191" t="s">
        <v>321</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31" hidden="1" x14ac:dyDescent="0.3">
      <c r="A192" t="s">
        <v>116</v>
      </c>
      <c r="B192" t="s">
        <v>258</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124</v>
      </c>
      <c r="B193" t="s">
        <v>322</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75</v>
      </c>
      <c r="B194" t="s">
        <v>254</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124</v>
      </c>
      <c r="B195" t="s">
        <v>254</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75</v>
      </c>
      <c r="B196" t="s">
        <v>277</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75</v>
      </c>
      <c r="B197" t="s">
        <v>251</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81</v>
      </c>
      <c r="B198" t="s">
        <v>201</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44</v>
      </c>
      <c r="B199" t="s">
        <v>283</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44</v>
      </c>
      <c r="B200" t="s">
        <v>313</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x14ac:dyDescent="0.3">
      <c r="A201" t="s">
        <v>44</v>
      </c>
      <c r="B201" t="s">
        <v>152</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44</v>
      </c>
      <c r="B202" t="s">
        <v>315</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44</v>
      </c>
      <c r="B203" t="s">
        <v>286</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44</v>
      </c>
      <c r="B204" t="s">
        <v>323</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44</v>
      </c>
      <c r="B205" t="s">
        <v>292</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44</v>
      </c>
      <c r="B206" t="s">
        <v>281</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44</v>
      </c>
      <c r="B207" t="s">
        <v>324</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44</v>
      </c>
      <c r="B208" t="s">
        <v>325</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44</v>
      </c>
      <c r="B209" t="s">
        <v>326</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44</v>
      </c>
      <c r="B210" t="s">
        <v>311</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x14ac:dyDescent="0.3">
      <c r="A211" t="s">
        <v>44</v>
      </c>
      <c r="B211" t="s">
        <v>170</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44</v>
      </c>
      <c r="B212" t="s">
        <v>327</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103</v>
      </c>
      <c r="B213" t="s">
        <v>243</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103</v>
      </c>
      <c r="B214" t="s">
        <v>253</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127</v>
      </c>
      <c r="B215" t="s">
        <v>243</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hidden="1" x14ac:dyDescent="0.3">
      <c r="A216" t="s">
        <v>107</v>
      </c>
      <c r="B216" t="s">
        <v>220</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107</v>
      </c>
      <c r="B217" t="s">
        <v>273</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x14ac:dyDescent="0.3">
      <c r="A218" t="s">
        <v>118</v>
      </c>
      <c r="B218" t="s">
        <v>257</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hidden="1" x14ac:dyDescent="0.3">
      <c r="A219" t="s">
        <v>118</v>
      </c>
      <c r="B219" t="s">
        <v>216</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40</v>
      </c>
      <c r="B220" t="s">
        <v>258</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hidden="1" x14ac:dyDescent="0.3">
      <c r="A221" t="s">
        <v>40</v>
      </c>
      <c r="B221" t="s">
        <v>153</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40</v>
      </c>
      <c r="B222" t="s">
        <v>328</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40</v>
      </c>
      <c r="B223" t="s">
        <v>277</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40</v>
      </c>
      <c r="B224" t="s">
        <v>329</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hidden="1" x14ac:dyDescent="0.3">
      <c r="A225" t="s">
        <v>40</v>
      </c>
      <c r="B225" t="s">
        <v>213</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40</v>
      </c>
      <c r="B226" t="s">
        <v>330</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hidden="1" x14ac:dyDescent="0.3">
      <c r="A227" t="s">
        <v>40</v>
      </c>
      <c r="B227" t="s">
        <v>331</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42</v>
      </c>
      <c r="B228" t="s">
        <v>9</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42</v>
      </c>
      <c r="B229" t="s">
        <v>172</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40</v>
      </c>
      <c r="B230" t="s">
        <v>253</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107</v>
      </c>
      <c r="B231" t="s">
        <v>256</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295</v>
      </c>
      <c r="B232" t="s">
        <v>247</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83</v>
      </c>
      <c r="B233" t="s">
        <v>277</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hidden="1" x14ac:dyDescent="0.3">
      <c r="A234" t="s">
        <v>83</v>
      </c>
      <c r="B234" t="s">
        <v>331</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81</v>
      </c>
      <c r="B235" t="s">
        <v>168</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70</v>
      </c>
      <c r="B236" t="s">
        <v>278</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38</v>
      </c>
      <c r="B237" t="s">
        <v>173</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70</v>
      </c>
      <c r="B238" t="s">
        <v>332</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118</v>
      </c>
      <c r="B239" t="s">
        <v>249</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124</v>
      </c>
      <c r="B240" t="s">
        <v>147</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116</v>
      </c>
      <c r="B241" t="s">
        <v>270</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124</v>
      </c>
      <c r="B242" t="s">
        <v>333</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hidden="1" x14ac:dyDescent="0.3">
      <c r="A243" t="s">
        <v>75</v>
      </c>
      <c r="B243" t="s">
        <v>216</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124</v>
      </c>
      <c r="B244" t="s">
        <v>334</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32</v>
      </c>
      <c r="B245" t="s">
        <v>3</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107</v>
      </c>
      <c r="B246" t="s">
        <v>194</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295</v>
      </c>
      <c r="B247" t="s">
        <v>1</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125</v>
      </c>
      <c r="B248" t="s">
        <v>247</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107</v>
      </c>
      <c r="B249" t="s">
        <v>243</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83</v>
      </c>
      <c r="B250" t="s">
        <v>335</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83</v>
      </c>
      <c r="B251" t="s">
        <v>336</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83</v>
      </c>
      <c r="B252" t="s">
        <v>263</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hidden="1" x14ac:dyDescent="0.3">
      <c r="A253" t="s">
        <v>83</v>
      </c>
      <c r="B253" t="s">
        <v>264</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36</v>
      </c>
      <c r="B254" t="s">
        <v>173</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36</v>
      </c>
      <c r="B255" t="s">
        <v>251</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36</v>
      </c>
      <c r="B256" t="s">
        <v>276</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75</v>
      </c>
      <c r="B257" t="s">
        <v>261</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75</v>
      </c>
      <c r="B258" t="s">
        <v>250</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75</v>
      </c>
      <c r="B259" t="s">
        <v>201</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124</v>
      </c>
      <c r="B260" t="s">
        <v>250</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124</v>
      </c>
      <c r="B261" t="s">
        <v>245</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75</v>
      </c>
      <c r="B262" t="s">
        <v>249</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75</v>
      </c>
      <c r="B263" t="s">
        <v>296</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hidden="1" x14ac:dyDescent="0.3">
      <c r="A264" t="s">
        <v>79</v>
      </c>
      <c r="B264" t="s">
        <v>218</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44</v>
      </c>
      <c r="B265" t="s">
        <v>293</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x14ac:dyDescent="0.3">
      <c r="A266" t="s">
        <v>44</v>
      </c>
      <c r="B266" t="s">
        <v>169</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44</v>
      </c>
      <c r="B267" t="s">
        <v>173</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44</v>
      </c>
      <c r="B268" t="s">
        <v>255</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hidden="1" x14ac:dyDescent="0.3">
      <c r="A269" t="s">
        <v>44</v>
      </c>
      <c r="B269" t="s">
        <v>331</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hidden="1" x14ac:dyDescent="0.3">
      <c r="A270" t="s">
        <v>38</v>
      </c>
      <c r="B270" t="s">
        <v>216</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70</v>
      </c>
      <c r="B271" t="s">
        <v>147</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70</v>
      </c>
      <c r="B272" t="s">
        <v>333</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70</v>
      </c>
      <c r="B273" t="s">
        <v>5</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38</v>
      </c>
      <c r="B274" t="s">
        <v>337</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hidden="1" x14ac:dyDescent="0.3">
      <c r="A275" t="s">
        <v>70</v>
      </c>
      <c r="B275" t="s">
        <v>216</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295</v>
      </c>
      <c r="B276" t="s">
        <v>241</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125</v>
      </c>
      <c r="B277" t="s">
        <v>172</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40</v>
      </c>
      <c r="B278" t="s">
        <v>266</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50</v>
      </c>
      <c r="B279" t="s">
        <v>243</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50</v>
      </c>
      <c r="B280" t="s">
        <v>253</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44</v>
      </c>
      <c r="B281" t="s">
        <v>253</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295</v>
      </c>
      <c r="B282" t="s">
        <v>275</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42</v>
      </c>
      <c r="B283" t="s">
        <v>243</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125</v>
      </c>
      <c r="B284" t="s">
        <v>194</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hidden="1" x14ac:dyDescent="0.3">
      <c r="A285" t="s">
        <v>32</v>
      </c>
      <c r="B285" t="s">
        <v>214</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hidden="1" x14ac:dyDescent="0.3">
      <c r="A286" t="s">
        <v>32</v>
      </c>
      <c r="B286" t="s">
        <v>215</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32</v>
      </c>
      <c r="B287" t="s">
        <v>335</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32</v>
      </c>
      <c r="B288" t="s">
        <v>337</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75</v>
      </c>
      <c r="B289" t="s">
        <v>168</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116</v>
      </c>
      <c r="B290" t="s">
        <v>168</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124</v>
      </c>
      <c r="B291" t="s">
        <v>246</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116</v>
      </c>
      <c r="B292" t="s">
        <v>338</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118</v>
      </c>
      <c r="B293" t="s">
        <v>339</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32</v>
      </c>
      <c r="B294" t="s">
        <v>266</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83</v>
      </c>
      <c r="B295" t="s">
        <v>261</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83</v>
      </c>
      <c r="B296" t="s">
        <v>250</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83</v>
      </c>
      <c r="B297" t="s">
        <v>296</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42</v>
      </c>
      <c r="B298" t="s">
        <v>337</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42</v>
      </c>
      <c r="B299" t="s">
        <v>335</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hidden="1" x14ac:dyDescent="0.3">
      <c r="A300" t="s">
        <v>42</v>
      </c>
      <c r="B300" t="s">
        <v>215</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79</v>
      </c>
      <c r="B301" t="s">
        <v>270</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79</v>
      </c>
      <c r="B302" t="s">
        <v>334</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79</v>
      </c>
      <c r="B303" t="s">
        <v>333</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36</v>
      </c>
      <c r="B304" t="s">
        <v>268</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38</v>
      </c>
      <c r="B305" t="s">
        <v>296</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38</v>
      </c>
      <c r="B306" t="s">
        <v>317</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70</v>
      </c>
      <c r="B307" t="s">
        <v>245</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hidden="1" x14ac:dyDescent="0.3">
      <c r="A308" t="s">
        <v>38</v>
      </c>
      <c r="B308" t="s">
        <v>219</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125</v>
      </c>
      <c r="B309" t="s">
        <v>253</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125</v>
      </c>
      <c r="B310" t="s">
        <v>243</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118</v>
      </c>
      <c r="B311" t="s">
        <v>194</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81</v>
      </c>
      <c r="B312" t="s">
        <v>244</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40</v>
      </c>
      <c r="B313" t="s">
        <v>194</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36</v>
      </c>
      <c r="B314" t="s">
        <v>334</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x14ac:dyDescent="0.3">
      <c r="A315" t="s">
        <v>36</v>
      </c>
      <c r="B315" t="s">
        <v>257</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36</v>
      </c>
      <c r="B316" t="s">
        <v>147</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36</v>
      </c>
      <c r="B317" t="s">
        <v>270</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hidden="1" x14ac:dyDescent="0.3">
      <c r="A318" t="s">
        <v>79</v>
      </c>
      <c r="B318" t="s">
        <v>222</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hidden="1" x14ac:dyDescent="0.3">
      <c r="A319" t="s">
        <v>40</v>
      </c>
      <c r="B319" t="s">
        <v>219</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116</v>
      </c>
      <c r="B320" t="s">
        <v>247</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75</v>
      </c>
      <c r="B321" t="s">
        <v>256</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287</v>
      </c>
      <c r="B322" t="s">
        <v>1</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44</v>
      </c>
      <c r="B323" t="s">
        <v>263</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44</v>
      </c>
      <c r="B324" t="s">
        <v>5</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44</v>
      </c>
      <c r="B325" t="s">
        <v>262</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32</v>
      </c>
      <c r="B326" t="s">
        <v>242</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83</v>
      </c>
      <c r="B327" t="s">
        <v>1</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83</v>
      </c>
      <c r="B328" t="s">
        <v>338</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83</v>
      </c>
      <c r="B329" t="s">
        <v>271</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hidden="1" x14ac:dyDescent="0.3">
      <c r="A330" t="s">
        <v>79</v>
      </c>
      <c r="B330" t="s">
        <v>221</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79</v>
      </c>
      <c r="B331" t="s">
        <v>299</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70</v>
      </c>
      <c r="B332" t="s">
        <v>168</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70</v>
      </c>
      <c r="B333" t="s">
        <v>246</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38</v>
      </c>
      <c r="B334" t="s">
        <v>274</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38</v>
      </c>
      <c r="B335" t="s">
        <v>273</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hidden="1" x14ac:dyDescent="0.3">
      <c r="A336" t="s">
        <v>70</v>
      </c>
      <c r="B336" t="s">
        <v>220</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79</v>
      </c>
      <c r="B337" t="s">
        <v>325</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79</v>
      </c>
      <c r="B338" t="s">
        <v>340</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79</v>
      </c>
      <c r="B339" t="s">
        <v>341</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79</v>
      </c>
      <c r="B340" t="s">
        <v>342</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79</v>
      </c>
      <c r="B341" t="s">
        <v>315</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79</v>
      </c>
      <c r="B342" t="s">
        <v>343</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79</v>
      </c>
      <c r="B343" t="s">
        <v>344</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79</v>
      </c>
      <c r="B344" t="s">
        <v>300</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79</v>
      </c>
      <c r="B345" t="s">
        <v>284</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79</v>
      </c>
      <c r="B346" t="s">
        <v>320</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79</v>
      </c>
      <c r="B347" t="s">
        <v>303</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79</v>
      </c>
      <c r="B348" t="s">
        <v>291</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x14ac:dyDescent="0.3">
      <c r="A349" t="s">
        <v>79</v>
      </c>
      <c r="B349" t="s">
        <v>170</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79</v>
      </c>
      <c r="B350" t="s">
        <v>345</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79</v>
      </c>
      <c r="B351" t="s">
        <v>323</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79</v>
      </c>
      <c r="B352" t="s">
        <v>326</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79</v>
      </c>
      <c r="B353" t="s">
        <v>346</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79</v>
      </c>
      <c r="B354" t="s">
        <v>347</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79</v>
      </c>
      <c r="B355" t="s">
        <v>302</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79</v>
      </c>
      <c r="B356" t="s">
        <v>324</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79</v>
      </c>
      <c r="B357" t="s">
        <v>348</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79</v>
      </c>
      <c r="B358" t="s">
        <v>349</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79</v>
      </c>
      <c r="B359" t="s">
        <v>350</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75</v>
      </c>
      <c r="B360" t="s">
        <v>339</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124</v>
      </c>
      <c r="B361" t="s">
        <v>339</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hidden="1" x14ac:dyDescent="0.3">
      <c r="A362" t="s">
        <v>124</v>
      </c>
      <c r="B362" t="s">
        <v>218</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32</v>
      </c>
      <c r="B363" t="s">
        <v>194</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83</v>
      </c>
      <c r="B364" t="s">
        <v>248</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hidden="1" x14ac:dyDescent="0.3">
      <c r="A365" t="s">
        <v>36</v>
      </c>
      <c r="B365" t="s">
        <v>219</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36</v>
      </c>
      <c r="B366" t="s">
        <v>245</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hidden="1" x14ac:dyDescent="0.3">
      <c r="A367" t="s">
        <v>36</v>
      </c>
      <c r="B367" t="s">
        <v>351</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75</v>
      </c>
      <c r="B368" t="s">
        <v>194</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44</v>
      </c>
      <c r="B369" t="s">
        <v>310</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hidden="1" x14ac:dyDescent="0.3">
      <c r="A370" t="s">
        <v>44</v>
      </c>
      <c r="B370" t="s">
        <v>351</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44</v>
      </c>
      <c r="B371" t="s">
        <v>201</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44</v>
      </c>
      <c r="B372" t="s">
        <v>296</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40</v>
      </c>
      <c r="B373" t="s">
        <v>243</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70</v>
      </c>
      <c r="B374" t="s">
        <v>256</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79</v>
      </c>
      <c r="B375" t="s">
        <v>275</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42</v>
      </c>
      <c r="B376" t="s">
        <v>265</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40</v>
      </c>
      <c r="B377" t="s">
        <v>321</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40</v>
      </c>
      <c r="B378" t="s">
        <v>283</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x14ac:dyDescent="0.3">
      <c r="A379" t="s">
        <v>40</v>
      </c>
      <c r="B379" t="s">
        <v>170</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40</v>
      </c>
      <c r="B380" t="s">
        <v>292</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40</v>
      </c>
      <c r="B381" t="s">
        <v>280</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40</v>
      </c>
      <c r="B382" t="s">
        <v>174</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40</v>
      </c>
      <c r="B383" t="s">
        <v>323</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40</v>
      </c>
      <c r="B384" t="s">
        <v>313</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40</v>
      </c>
      <c r="B385" t="s">
        <v>297</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40</v>
      </c>
      <c r="B386" t="s">
        <v>291</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40</v>
      </c>
      <c r="B387" t="s">
        <v>282</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40</v>
      </c>
      <c r="B388" t="s">
        <v>311</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hidden="1" x14ac:dyDescent="0.3">
      <c r="A389" t="s">
        <v>40</v>
      </c>
      <c r="B389" t="s">
        <v>285</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hidden="1" x14ac:dyDescent="0.3">
      <c r="A390" t="s">
        <v>40</v>
      </c>
      <c r="B390" t="s">
        <v>352</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40</v>
      </c>
      <c r="B391" t="s">
        <v>326</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40</v>
      </c>
      <c r="B392" t="s">
        <v>325</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40</v>
      </c>
      <c r="B393" t="s">
        <v>324</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40</v>
      </c>
      <c r="B394" t="s">
        <v>281</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40</v>
      </c>
      <c r="B395" t="s">
        <v>353</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40</v>
      </c>
      <c r="B396" t="s">
        <v>316</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40</v>
      </c>
      <c r="B397" t="s">
        <v>354</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40</v>
      </c>
      <c r="B398" t="s">
        <v>355</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40</v>
      </c>
      <c r="B399" t="s">
        <v>356</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40</v>
      </c>
      <c r="B400" t="s">
        <v>315</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40</v>
      </c>
      <c r="B401" t="s">
        <v>312</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40</v>
      </c>
      <c r="B402" t="s">
        <v>309</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40</v>
      </c>
      <c r="B403" t="s">
        <v>357</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32</v>
      </c>
      <c r="B404" t="s">
        <v>273</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hidden="1" x14ac:dyDescent="0.3">
      <c r="A405" t="s">
        <v>32</v>
      </c>
      <c r="B405" t="s">
        <v>221</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32</v>
      </c>
      <c r="B406" t="s">
        <v>274</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hidden="1" x14ac:dyDescent="0.3">
      <c r="A407" t="s">
        <v>83</v>
      </c>
      <c r="B407" t="s">
        <v>218</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83</v>
      </c>
      <c r="B408" t="s">
        <v>172</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116</v>
      </c>
      <c r="B409" t="s">
        <v>243</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75</v>
      </c>
      <c r="B410" t="s">
        <v>253</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32</v>
      </c>
      <c r="B411" t="s">
        <v>267</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70</v>
      </c>
      <c r="B412" t="s">
        <v>339</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70</v>
      </c>
      <c r="B413" t="s">
        <v>172</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42</v>
      </c>
      <c r="B414" t="s">
        <v>268</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36</v>
      </c>
      <c r="B415" t="s">
        <v>246</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75</v>
      </c>
      <c r="B416" t="s">
        <v>241</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124</v>
      </c>
      <c r="B417" t="s">
        <v>9</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124</v>
      </c>
      <c r="B418" t="s">
        <v>268</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75</v>
      </c>
      <c r="B419" t="s">
        <v>9</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32</v>
      </c>
      <c r="B420" t="s">
        <v>358</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32</v>
      </c>
      <c r="B421" t="s">
        <v>328</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32</v>
      </c>
      <c r="B422" t="s">
        <v>359</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hidden="1" x14ac:dyDescent="0.3">
      <c r="A423" t="s">
        <v>32</v>
      </c>
      <c r="B423" t="s">
        <v>213</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32</v>
      </c>
      <c r="B424" t="s">
        <v>277</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32</v>
      </c>
      <c r="B425" t="s">
        <v>259</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32</v>
      </c>
      <c r="B426" t="s">
        <v>330</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32</v>
      </c>
      <c r="B427" t="s">
        <v>360</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32</v>
      </c>
      <c r="B428" t="s">
        <v>332</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32</v>
      </c>
      <c r="B429" t="s">
        <v>173</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40</v>
      </c>
      <c r="B430" t="s">
        <v>172</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295</v>
      </c>
      <c r="B431" t="s">
        <v>3</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42</v>
      </c>
      <c r="B432" t="s">
        <v>332</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42</v>
      </c>
      <c r="B433" t="s">
        <v>278</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42</v>
      </c>
      <c r="B434" t="s">
        <v>359</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42</v>
      </c>
      <c r="B435" t="s">
        <v>360</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42</v>
      </c>
      <c r="B436" t="s">
        <v>358</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42</v>
      </c>
      <c r="B437" t="s">
        <v>328</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x14ac:dyDescent="0.3">
      <c r="A438" t="s">
        <v>42</v>
      </c>
      <c r="B438" t="s">
        <v>169</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42</v>
      </c>
      <c r="B439" t="s">
        <v>258</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42</v>
      </c>
      <c r="B440" t="s">
        <v>329</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42</v>
      </c>
      <c r="B441" t="s">
        <v>330</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44</v>
      </c>
      <c r="B442" t="s">
        <v>273</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44</v>
      </c>
      <c r="B443" t="s">
        <v>271</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44</v>
      </c>
      <c r="B444" t="s">
        <v>272</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hidden="1" x14ac:dyDescent="0.3">
      <c r="A445" t="s">
        <v>44</v>
      </c>
      <c r="B445" t="s">
        <v>220</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40</v>
      </c>
      <c r="B446" t="s">
        <v>3</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116</v>
      </c>
      <c r="B447" t="s">
        <v>265</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75</v>
      </c>
      <c r="B448" t="s">
        <v>244</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38</v>
      </c>
      <c r="B449" t="s">
        <v>194</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hidden="1" x14ac:dyDescent="0.3">
      <c r="A450" t="s">
        <v>32</v>
      </c>
      <c r="B450" t="s">
        <v>218</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42</v>
      </c>
      <c r="B451" t="s">
        <v>339</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83</v>
      </c>
      <c r="B452" t="s">
        <v>253</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36</v>
      </c>
      <c r="B453" t="s">
        <v>256</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hidden="1" x14ac:dyDescent="0.3">
      <c r="A454" t="s">
        <v>40</v>
      </c>
      <c r="B454" t="s">
        <v>215</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40</v>
      </c>
      <c r="B455" t="s">
        <v>262</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40</v>
      </c>
      <c r="B456" t="s">
        <v>5</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hidden="1" x14ac:dyDescent="0.3">
      <c r="A457" t="s">
        <v>40</v>
      </c>
      <c r="B457" t="s">
        <v>264</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40</v>
      </c>
      <c r="B458" t="s">
        <v>263</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40</v>
      </c>
      <c r="B459" t="s">
        <v>337</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40</v>
      </c>
      <c r="B460" t="s">
        <v>335</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40</v>
      </c>
      <c r="B461" t="s">
        <v>336</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44</v>
      </c>
      <c r="B462" t="s">
        <v>266</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81</v>
      </c>
      <c r="B463" t="s">
        <v>3</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38</v>
      </c>
      <c r="B464" t="s">
        <v>253</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70</v>
      </c>
      <c r="B465" t="s">
        <v>243</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70</v>
      </c>
      <c r="B466" t="s">
        <v>253</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125</v>
      </c>
      <c r="B467" t="s">
        <v>1</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40</v>
      </c>
      <c r="B468" t="s">
        <v>268</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hidden="1" x14ac:dyDescent="0.3">
      <c r="A469" t="s">
        <v>79</v>
      </c>
      <c r="B469" t="s">
        <v>219</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79</v>
      </c>
      <c r="B470" t="s">
        <v>249</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79</v>
      </c>
      <c r="B471" t="s">
        <v>296</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hidden="1" x14ac:dyDescent="0.3">
      <c r="A472" t="s">
        <v>79</v>
      </c>
      <c r="B472" t="s">
        <v>153</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79</v>
      </c>
      <c r="B473" t="s">
        <v>322</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79</v>
      </c>
      <c r="B474" t="s">
        <v>358</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hidden="1" x14ac:dyDescent="0.3">
      <c r="A475" t="s">
        <v>79</v>
      </c>
      <c r="B475" t="s">
        <v>331</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79</v>
      </c>
      <c r="B476" t="s">
        <v>251</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79</v>
      </c>
      <c r="B477" t="s">
        <v>332</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79</v>
      </c>
      <c r="B478" t="s">
        <v>254</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79</v>
      </c>
      <c r="B479" t="s">
        <v>258</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79</v>
      </c>
      <c r="B480" t="s">
        <v>259</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hidden="1" x14ac:dyDescent="0.3">
      <c r="A481" t="s">
        <v>36</v>
      </c>
      <c r="B481" t="s">
        <v>218</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hidden="1" x14ac:dyDescent="0.3">
      <c r="A482" t="s">
        <v>32</v>
      </c>
      <c r="B482" t="s">
        <v>351</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32</v>
      </c>
      <c r="B483" t="s">
        <v>361</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32</v>
      </c>
      <c r="B484" t="s">
        <v>201</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32</v>
      </c>
      <c r="B485" t="s">
        <v>317</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32</v>
      </c>
      <c r="B486" t="s">
        <v>261</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44</v>
      </c>
      <c r="B487" t="s">
        <v>1</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70</v>
      </c>
      <c r="B488" t="s">
        <v>241</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42</v>
      </c>
      <c r="B489" t="s">
        <v>361</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42</v>
      </c>
      <c r="B490" t="s">
        <v>201</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hidden="1" x14ac:dyDescent="0.3">
      <c r="A491" t="s">
        <v>42</v>
      </c>
      <c r="B491" t="s">
        <v>351</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42</v>
      </c>
      <c r="B492" t="s">
        <v>318</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32</v>
      </c>
      <c r="B493" t="s">
        <v>265</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83</v>
      </c>
      <c r="B494" t="s">
        <v>242</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83</v>
      </c>
      <c r="B495" t="s">
        <v>275</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44</v>
      </c>
      <c r="B496" t="s">
        <v>172</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70</v>
      </c>
      <c r="B497" t="s">
        <v>275</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70</v>
      </c>
      <c r="B498" t="s">
        <v>265</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81</v>
      </c>
      <c r="B499" t="s">
        <v>240</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32</v>
      </c>
      <c r="B500" t="s">
        <v>248</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32</v>
      </c>
      <c r="B501" t="s">
        <v>247</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hidden="1" x14ac:dyDescent="0.3">
      <c r="A502" t="s">
        <v>40</v>
      </c>
      <c r="B502" t="s">
        <v>351</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40</v>
      </c>
      <c r="B503" t="s">
        <v>296</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44</v>
      </c>
      <c r="B504" t="s">
        <v>194</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32</v>
      </c>
      <c r="B505" t="s">
        <v>299</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40</v>
      </c>
      <c r="B506" t="s">
        <v>265</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32</v>
      </c>
      <c r="B507" t="s">
        <v>241</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32</v>
      </c>
      <c r="B508" t="s">
        <v>268</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42</v>
      </c>
      <c r="B509" t="s">
        <v>267</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42</v>
      </c>
      <c r="B510" t="s">
        <v>174</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70</v>
      </c>
      <c r="B511" t="s">
        <v>1</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42</v>
      </c>
      <c r="B512" t="s">
        <v>259</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42</v>
      </c>
      <c r="B513" t="s">
        <v>338</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42</v>
      </c>
      <c r="B514" t="s">
        <v>288</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42</v>
      </c>
      <c r="B515" t="s">
        <v>312</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hidden="1" x14ac:dyDescent="0.3">
      <c r="A516" t="s">
        <v>42</v>
      </c>
      <c r="B516" t="s">
        <v>264</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42</v>
      </c>
      <c r="B517" t="s">
        <v>327</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42</v>
      </c>
      <c r="B518" t="s">
        <v>293</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42</v>
      </c>
      <c r="B519" t="s">
        <v>297</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32</v>
      </c>
      <c r="B520" t="s">
        <v>342</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32</v>
      </c>
      <c r="B521" t="s">
        <v>356</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hidden="1" x14ac:dyDescent="0.3">
      <c r="A522" t="s">
        <v>42</v>
      </c>
      <c r="B522" t="s">
        <v>285</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x14ac:dyDescent="0.3">
      <c r="A523" t="s">
        <v>42</v>
      </c>
      <c r="B523" t="s">
        <v>152</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32</v>
      </c>
      <c r="B524" t="s">
        <v>301</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32</v>
      </c>
      <c r="B525" t="s">
        <v>246</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x14ac:dyDescent="0.3">
      <c r="A526" t="s">
        <v>42</v>
      </c>
      <c r="B526" t="s">
        <v>170</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hidden="1" x14ac:dyDescent="0.3">
      <c r="A527" t="s">
        <v>42</v>
      </c>
      <c r="B527" t="s">
        <v>331</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40</v>
      </c>
      <c r="B528" t="s">
        <v>260</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40</v>
      </c>
      <c r="B529" t="s">
        <v>318</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40</v>
      </c>
      <c r="B530" t="s">
        <v>198</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79</v>
      </c>
      <c r="B531" t="s">
        <v>268</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42</v>
      </c>
      <c r="B532" t="s">
        <v>305</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hidden="1" x14ac:dyDescent="0.3">
      <c r="A533" t="s">
        <v>79</v>
      </c>
      <c r="B533" t="s">
        <v>351</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42</v>
      </c>
      <c r="B534" t="s">
        <v>249</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42</v>
      </c>
      <c r="B535" t="s">
        <v>315</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hidden="1" x14ac:dyDescent="0.3">
      <c r="A536" t="s">
        <v>42</v>
      </c>
      <c r="B536" t="s">
        <v>219</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hidden="1" x14ac:dyDescent="0.3">
      <c r="A537" t="s">
        <v>42</v>
      </c>
      <c r="B537" t="s">
        <v>220</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42</v>
      </c>
      <c r="B538" t="s">
        <v>283</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42</v>
      </c>
      <c r="B539" t="s">
        <v>276</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79</v>
      </c>
      <c r="B540" t="s">
        <v>265</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79</v>
      </c>
      <c r="B541" t="s">
        <v>241</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79</v>
      </c>
      <c r="B542" t="s">
        <v>247</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hidden="1" x14ac:dyDescent="0.3">
      <c r="A543" t="s">
        <v>42</v>
      </c>
      <c r="B543" t="s">
        <v>279</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x14ac:dyDescent="0.3">
      <c r="A544" t="s">
        <v>32</v>
      </c>
      <c r="B544" t="s">
        <v>169</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hidden="1" x14ac:dyDescent="0.3">
      <c r="A545" t="s">
        <v>32</v>
      </c>
      <c r="B545" t="s">
        <v>190</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32</v>
      </c>
      <c r="B546" t="s">
        <v>148</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hidden="1" x14ac:dyDescent="0.3">
      <c r="A547" t="s">
        <v>32</v>
      </c>
      <c r="B547" t="s">
        <v>352</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79</v>
      </c>
      <c r="B548" t="s">
        <v>271</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42</v>
      </c>
      <c r="B549" t="s">
        <v>173</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42</v>
      </c>
      <c r="B550" t="s">
        <v>320</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42</v>
      </c>
      <c r="B551" t="s">
        <v>299</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42</v>
      </c>
      <c r="B552" t="s">
        <v>277</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42</v>
      </c>
      <c r="B553" t="s">
        <v>254</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42</v>
      </c>
      <c r="B554" t="s">
        <v>322</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32</v>
      </c>
      <c r="B555" t="s">
        <v>303</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32</v>
      </c>
      <c r="B556" t="s">
        <v>320</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32</v>
      </c>
      <c r="B557" t="s">
        <v>275</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32</v>
      </c>
      <c r="B558" t="s">
        <v>333</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32</v>
      </c>
      <c r="B559" t="s">
        <v>350</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75</v>
      </c>
      <c r="B560" t="s">
        <v>1</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42</v>
      </c>
      <c r="B561" t="s">
        <v>316</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42</v>
      </c>
      <c r="B562" t="s">
        <v>251</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x14ac:dyDescent="0.3">
      <c r="A563" t="s">
        <v>42</v>
      </c>
      <c r="B563" t="s">
        <v>175</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42</v>
      </c>
      <c r="B564" t="s">
        <v>309</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42</v>
      </c>
      <c r="B565" t="s">
        <v>168</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hidden="1" x14ac:dyDescent="0.3">
      <c r="A566" t="s">
        <v>42</v>
      </c>
      <c r="B566" t="s">
        <v>214</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75</v>
      </c>
      <c r="B567" t="s">
        <v>240</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hidden="1" x14ac:dyDescent="0.3">
      <c r="A568" t="s">
        <v>42</v>
      </c>
      <c r="B568" t="s">
        <v>222</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hidden="1" x14ac:dyDescent="0.3">
      <c r="A569" t="s">
        <v>42</v>
      </c>
      <c r="B569" t="s">
        <v>217</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32</v>
      </c>
      <c r="B570" t="s">
        <v>314</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32</v>
      </c>
      <c r="B571" t="s">
        <v>315</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32</v>
      </c>
      <c r="B572" t="s">
        <v>283</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124</v>
      </c>
      <c r="B573" t="s">
        <v>3</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hidden="1" x14ac:dyDescent="0.3">
      <c r="A574" t="s">
        <v>32</v>
      </c>
      <c r="B574" t="s">
        <v>153</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42</v>
      </c>
      <c r="B575" t="s">
        <v>252</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50</v>
      </c>
      <c r="B576" t="s">
        <v>1</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42</v>
      </c>
      <c r="B577" t="s">
        <v>280</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42</v>
      </c>
      <c r="B578" t="s">
        <v>260</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42</v>
      </c>
      <c r="B579" t="s">
        <v>282</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44</v>
      </c>
      <c r="B580" t="s">
        <v>3</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44</v>
      </c>
      <c r="B581" t="s">
        <v>242</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81</v>
      </c>
      <c r="B582" t="s">
        <v>1</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40</v>
      </c>
      <c r="B583" t="s">
        <v>252</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79</v>
      </c>
      <c r="B584" t="s">
        <v>256</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83</v>
      </c>
      <c r="B585" t="s">
        <v>3</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40</v>
      </c>
      <c r="B586" t="s">
        <v>359</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40</v>
      </c>
      <c r="B587" t="s">
        <v>251</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hidden="1" x14ac:dyDescent="0.3">
      <c r="A588" t="s">
        <v>79</v>
      </c>
      <c r="B588" t="s">
        <v>216</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79</v>
      </c>
      <c r="B589" t="s">
        <v>338</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79</v>
      </c>
      <c r="B590" t="s">
        <v>361</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42</v>
      </c>
      <c r="B591" t="s">
        <v>362</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83</v>
      </c>
      <c r="B592" t="s">
        <v>240</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32</v>
      </c>
      <c r="B593" t="s">
        <v>329</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40</v>
      </c>
      <c r="B594" t="s">
        <v>273</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40</v>
      </c>
      <c r="B595" t="s">
        <v>332</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32</v>
      </c>
      <c r="B596" t="s">
        <v>297</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118</v>
      </c>
      <c r="B597" t="s">
        <v>1</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32</v>
      </c>
      <c r="B598" t="s">
        <v>338</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40</v>
      </c>
      <c r="B599" t="s">
        <v>173</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40</v>
      </c>
      <c r="B600" t="s">
        <v>267</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40</v>
      </c>
      <c r="B601" t="s">
        <v>293</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hidden="1" x14ac:dyDescent="0.3">
      <c r="A602" t="s">
        <v>40</v>
      </c>
      <c r="B602" t="s">
        <v>216</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118</v>
      </c>
      <c r="B603" t="s">
        <v>240</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32</v>
      </c>
      <c r="B604" t="s">
        <v>306</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42</v>
      </c>
      <c r="B605" t="s">
        <v>363</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42</v>
      </c>
      <c r="B606" t="s">
        <v>354</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42</v>
      </c>
      <c r="B607" t="s">
        <v>353</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40</v>
      </c>
      <c r="B608" t="s">
        <v>259</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40</v>
      </c>
      <c r="B609" t="s">
        <v>360</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40</v>
      </c>
      <c r="B610" t="s">
        <v>361</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40</v>
      </c>
      <c r="B611" t="s">
        <v>338</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42</v>
      </c>
      <c r="B612" t="s">
        <v>357</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42</v>
      </c>
      <c r="B613" t="s">
        <v>356</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42</v>
      </c>
      <c r="B614" t="s">
        <v>355</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hidden="1" x14ac:dyDescent="0.3">
      <c r="A615" t="s">
        <v>32</v>
      </c>
      <c r="B615" t="s">
        <v>331</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32</v>
      </c>
      <c r="B616" t="s">
        <v>324</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x14ac:dyDescent="0.3">
      <c r="A617" t="s">
        <v>32</v>
      </c>
      <c r="B617" t="s">
        <v>170</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hidden="1" x14ac:dyDescent="0.3">
      <c r="A618" t="s">
        <v>36</v>
      </c>
      <c r="B618" t="s">
        <v>222</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40</v>
      </c>
      <c r="B619" t="s">
        <v>317</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36</v>
      </c>
      <c r="B620" t="s">
        <v>275</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32</v>
      </c>
      <c r="B621" t="s">
        <v>260</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38</v>
      </c>
      <c r="B622" t="s">
        <v>3</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36</v>
      </c>
      <c r="B623" t="s">
        <v>269</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32</v>
      </c>
      <c r="B624" t="s">
        <v>174</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32</v>
      </c>
      <c r="B625" t="s">
        <v>251</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107</v>
      </c>
      <c r="B626" t="s">
        <v>1</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36</v>
      </c>
      <c r="B627" t="s">
        <v>9</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36</v>
      </c>
      <c r="B628" t="s">
        <v>242</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32</v>
      </c>
      <c r="B629" t="s">
        <v>291</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32</v>
      </c>
      <c r="B630" t="s">
        <v>198</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x14ac:dyDescent="0.3">
      <c r="A631" t="s">
        <v>32</v>
      </c>
      <c r="B631" t="s">
        <v>257</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32</v>
      </c>
      <c r="B632" t="s">
        <v>357</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32</v>
      </c>
      <c r="B633" t="s">
        <v>276</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32</v>
      </c>
      <c r="B634" t="s">
        <v>326</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32</v>
      </c>
      <c r="B635" t="s">
        <v>256</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32</v>
      </c>
      <c r="B636" t="s">
        <v>323</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32</v>
      </c>
      <c r="B637" t="s">
        <v>292</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32</v>
      </c>
      <c r="B638" t="s">
        <v>355</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32</v>
      </c>
      <c r="B639" t="s">
        <v>325</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32</v>
      </c>
      <c r="B640" t="s">
        <v>271</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32</v>
      </c>
      <c r="B641" t="s">
        <v>249</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32</v>
      </c>
      <c r="B642" t="s">
        <v>308</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32</v>
      </c>
      <c r="B643" t="s">
        <v>319</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32</v>
      </c>
      <c r="B644" t="s">
        <v>258</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32</v>
      </c>
      <c r="B645" t="s">
        <v>344</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42</v>
      </c>
      <c r="B646" t="s">
        <v>336</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32</v>
      </c>
      <c r="B647" t="s">
        <v>334</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44</v>
      </c>
      <c r="B648" t="s">
        <v>267</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42</v>
      </c>
      <c r="B649" t="s">
        <v>244</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42</v>
      </c>
      <c r="B650" t="s">
        <v>286</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44</v>
      </c>
      <c r="B651" t="s">
        <v>268</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32</v>
      </c>
      <c r="B652" t="s">
        <v>339</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32</v>
      </c>
      <c r="B653" t="s">
        <v>305</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32</v>
      </c>
      <c r="B654" t="s">
        <v>363</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32</v>
      </c>
      <c r="B655" t="s">
        <v>362</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32</v>
      </c>
      <c r="B656" t="s">
        <v>244</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32</v>
      </c>
      <c r="B657" t="s">
        <v>253</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42</v>
      </c>
      <c r="B658" t="s">
        <v>253</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32</v>
      </c>
      <c r="B659" t="s">
        <v>172</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40</v>
      </c>
      <c r="B660" t="s">
        <v>9</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hidden="1" x14ac:dyDescent="0.3">
      <c r="A661" t="s">
        <v>42</v>
      </c>
      <c r="B661" t="s">
        <v>218</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hidden="1" x14ac:dyDescent="0.3">
      <c r="A662" t="s">
        <v>32</v>
      </c>
      <c r="B662" t="s">
        <v>222</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40</v>
      </c>
      <c r="B663" t="s">
        <v>339</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hidden="1" x14ac:dyDescent="0.3">
      <c r="A664" t="s">
        <v>32</v>
      </c>
      <c r="B664" t="s">
        <v>220</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42</v>
      </c>
      <c r="B665" t="s">
        <v>271</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hidden="1" x14ac:dyDescent="0.3">
      <c r="A666" t="s">
        <v>42</v>
      </c>
      <c r="B666" t="s">
        <v>221</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32</v>
      </c>
      <c r="B667" t="s">
        <v>147</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hidden="1" x14ac:dyDescent="0.3">
      <c r="A668" t="s">
        <v>32</v>
      </c>
      <c r="B668" t="s">
        <v>216</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32</v>
      </c>
      <c r="B669" t="s">
        <v>270</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32</v>
      </c>
      <c r="B670" t="s">
        <v>252</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hidden="1" x14ac:dyDescent="0.3">
      <c r="A671" t="s">
        <v>32</v>
      </c>
      <c r="B671" t="s">
        <v>264</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32</v>
      </c>
      <c r="B672" t="s">
        <v>263</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70</v>
      </c>
      <c r="B673" t="s">
        <v>240</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42</v>
      </c>
      <c r="B674" t="s">
        <v>270</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x14ac:dyDescent="0.3">
      <c r="A675" t="s">
        <v>42</v>
      </c>
      <c r="B675" t="s">
        <v>257</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42</v>
      </c>
      <c r="B676" t="s">
        <v>333</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hidden="1" x14ac:dyDescent="0.3">
      <c r="A677" t="s">
        <v>42</v>
      </c>
      <c r="B677" t="s">
        <v>216</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42</v>
      </c>
      <c r="B678" t="s">
        <v>5</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42</v>
      </c>
      <c r="B679" t="s">
        <v>263</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124</v>
      </c>
      <c r="B680" t="s">
        <v>1</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116</v>
      </c>
      <c r="B681" t="s">
        <v>1</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40</v>
      </c>
      <c r="B682" t="s">
        <v>272</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hidden="1" x14ac:dyDescent="0.3">
      <c r="A683" t="s">
        <v>40</v>
      </c>
      <c r="B683" t="s">
        <v>221</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36</v>
      </c>
      <c r="B684" t="s">
        <v>3</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79</v>
      </c>
      <c r="B685" t="s">
        <v>267</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40</v>
      </c>
      <c r="B686" t="s">
        <v>299</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42</v>
      </c>
      <c r="B687" t="s">
        <v>269</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hidden="1" x14ac:dyDescent="0.3">
      <c r="A688" t="s">
        <v>40</v>
      </c>
      <c r="B688" t="s">
        <v>222</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42</v>
      </c>
      <c r="B689" t="s">
        <v>256</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32</v>
      </c>
      <c r="B690" t="s">
        <v>243</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79</v>
      </c>
      <c r="B691" t="s">
        <v>194</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32</v>
      </c>
      <c r="B692" t="s">
        <v>296</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32</v>
      </c>
      <c r="B693" t="s">
        <v>250</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32</v>
      </c>
      <c r="B694" t="s">
        <v>245</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hidden="1" x14ac:dyDescent="0.3">
      <c r="A695" t="s">
        <v>32</v>
      </c>
      <c r="B695" t="s">
        <v>219</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42</v>
      </c>
      <c r="B696" t="s">
        <v>250</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42</v>
      </c>
      <c r="B697" t="s">
        <v>245</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42</v>
      </c>
      <c r="B698" t="s">
        <v>261</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42</v>
      </c>
      <c r="B699" t="s">
        <v>296</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40</v>
      </c>
      <c r="B700" t="s">
        <v>241</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32</v>
      </c>
      <c r="B701" t="s">
        <v>269</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42</v>
      </c>
      <c r="B702" t="s">
        <v>241</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79</v>
      </c>
      <c r="B703" t="s">
        <v>9</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42</v>
      </c>
      <c r="B704" t="s">
        <v>275</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40</v>
      </c>
      <c r="B705" t="s">
        <v>269</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79</v>
      </c>
      <c r="B706" t="s">
        <v>242</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32</v>
      </c>
      <c r="B707" t="s">
        <v>240</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40</v>
      </c>
      <c r="B708" t="s">
        <v>275</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79</v>
      </c>
      <c r="B709" t="s">
        <v>3</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79</v>
      </c>
      <c r="B710" t="s">
        <v>1</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42</v>
      </c>
      <c r="B711" t="s">
        <v>240</v>
      </c>
      <c r="C711">
        <v>3</v>
      </c>
      <c r="D711">
        <v>25</v>
      </c>
      <c r="E711">
        <v>115</v>
      </c>
      <c r="F711">
        <v>74</v>
      </c>
      <c r="G711">
        <v>217</v>
      </c>
      <c r="H711">
        <v>118</v>
      </c>
      <c r="I711">
        <v>28</v>
      </c>
      <c r="J711">
        <v>0.97833438339946999</v>
      </c>
      <c r="K711">
        <v>-1.7367773348107001</v>
      </c>
      <c r="L711">
        <v>-0.33741837634713201</v>
      </c>
      <c r="M711" s="9">
        <v>6.0599572637222901E-7</v>
      </c>
      <c r="N711">
        <v>-0.70055452865064605</v>
      </c>
      <c r="O711">
        <v>-0.33741837634713201</v>
      </c>
      <c r="P711">
        <v>-0.50774229099817902</v>
      </c>
      <c r="Q711">
        <v>-0.51898645249888897</v>
      </c>
    </row>
    <row r="712" spans="1:17" hidden="1" x14ac:dyDescent="0.3">
      <c r="A712" t="s">
        <v>32</v>
      </c>
      <c r="B712" t="s">
        <v>354</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32</v>
      </c>
      <c r="B713" t="s">
        <v>353</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32</v>
      </c>
      <c r="B714" t="s">
        <v>300</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32</v>
      </c>
      <c r="B715" t="s">
        <v>255</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32</v>
      </c>
      <c r="B716" t="s">
        <v>343</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32</v>
      </c>
      <c r="B717" t="s">
        <v>254</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32</v>
      </c>
      <c r="B718" t="s">
        <v>322</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32</v>
      </c>
      <c r="B719" t="s">
        <v>302</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32</v>
      </c>
      <c r="B720" t="s">
        <v>284</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32</v>
      </c>
      <c r="B721" t="s">
        <v>290</v>
      </c>
      <c r="C721">
        <v>0</v>
      </c>
      <c r="D721">
        <v>1</v>
      </c>
      <c r="E721">
        <v>116</v>
      </c>
      <c r="F721">
        <v>100</v>
      </c>
      <c r="G721">
        <v>217</v>
      </c>
      <c r="H721">
        <v>116</v>
      </c>
      <c r="I721">
        <v>1</v>
      </c>
      <c r="J721">
        <v>0.51228398270258901</v>
      </c>
      <c r="L721">
        <v>-7.2919122228022701E-2</v>
      </c>
      <c r="M721">
        <v>0.465437788018433</v>
      </c>
      <c r="O721">
        <v>-7.2919122228022701E-2</v>
      </c>
    </row>
    <row r="722" spans="1:15" hidden="1" x14ac:dyDescent="0.3">
      <c r="A722" t="s">
        <v>32</v>
      </c>
      <c r="B722" t="s">
        <v>212</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32</v>
      </c>
      <c r="B723" t="s">
        <v>347</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32</v>
      </c>
      <c r="B724" t="s">
        <v>5</v>
      </c>
      <c r="C724">
        <v>0</v>
      </c>
      <c r="D724">
        <v>3</v>
      </c>
      <c r="E724">
        <v>116</v>
      </c>
      <c r="F724">
        <v>98</v>
      </c>
      <c r="G724">
        <v>217</v>
      </c>
      <c r="H724">
        <v>116</v>
      </c>
      <c r="I724">
        <v>3</v>
      </c>
      <c r="J724">
        <v>0.71167026495583197</v>
      </c>
      <c r="L724">
        <v>-0.126888437172618</v>
      </c>
      <c r="M724">
        <v>9.9221233879898493E-2</v>
      </c>
      <c r="O724">
        <v>-0.126888437172618</v>
      </c>
    </row>
    <row r="725" spans="1:15" hidden="1" x14ac:dyDescent="0.3">
      <c r="A725" t="s">
        <v>32</v>
      </c>
      <c r="B725" t="s">
        <v>279</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32</v>
      </c>
      <c r="B726" t="s">
        <v>262</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32</v>
      </c>
      <c r="B727" t="s">
        <v>321</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32</v>
      </c>
      <c r="B728" t="s">
        <v>341</v>
      </c>
      <c r="C728">
        <v>0</v>
      </c>
      <c r="D728">
        <v>1</v>
      </c>
      <c r="E728">
        <v>116</v>
      </c>
      <c r="F728">
        <v>100</v>
      </c>
      <c r="G728">
        <v>217</v>
      </c>
      <c r="H728">
        <v>116</v>
      </c>
      <c r="I728">
        <v>1</v>
      </c>
      <c r="J728">
        <v>0.51228398270258901</v>
      </c>
      <c r="L728">
        <v>-7.2919122228022701E-2</v>
      </c>
      <c r="M728">
        <v>0.465437788018433</v>
      </c>
      <c r="O728">
        <v>-7.2919122228022701E-2</v>
      </c>
    </row>
    <row r="729" spans="1:15" x14ac:dyDescent="0.3">
      <c r="A729" t="s">
        <v>32</v>
      </c>
      <c r="B729" t="s">
        <v>175</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32</v>
      </c>
      <c r="B730" t="s">
        <v>340</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32</v>
      </c>
      <c r="B731" t="s">
        <v>346</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32</v>
      </c>
      <c r="B732" t="s">
        <v>309</v>
      </c>
      <c r="C732">
        <v>0</v>
      </c>
      <c r="D732">
        <v>1</v>
      </c>
      <c r="E732">
        <v>116</v>
      </c>
      <c r="F732">
        <v>100</v>
      </c>
      <c r="G732">
        <v>217</v>
      </c>
      <c r="H732">
        <v>116</v>
      </c>
      <c r="I732">
        <v>1</v>
      </c>
      <c r="J732">
        <v>0.51228398270258901</v>
      </c>
      <c r="L732">
        <v>-7.2919122228022701E-2</v>
      </c>
      <c r="M732">
        <v>0.465437788018433</v>
      </c>
      <c r="O732">
        <v>-7.2919122228022701E-2</v>
      </c>
    </row>
    <row r="733" spans="1:15" hidden="1" x14ac:dyDescent="0.3">
      <c r="A733" t="s">
        <v>32</v>
      </c>
      <c r="B733" t="s">
        <v>217</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32</v>
      </c>
      <c r="B734" t="s">
        <v>348</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32</v>
      </c>
      <c r="B735" t="s">
        <v>349</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32</v>
      </c>
      <c r="B736" t="s">
        <v>316</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32</v>
      </c>
      <c r="B737" t="s">
        <v>312</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32</v>
      </c>
      <c r="B738" t="s">
        <v>288</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32</v>
      </c>
      <c r="B739" t="s">
        <v>345</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32</v>
      </c>
      <c r="B740" t="s">
        <v>293</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32</v>
      </c>
      <c r="B741" t="s">
        <v>313</v>
      </c>
      <c r="C741">
        <v>0</v>
      </c>
      <c r="D741">
        <v>1</v>
      </c>
      <c r="E741">
        <v>116</v>
      </c>
      <c r="F741">
        <v>100</v>
      </c>
      <c r="G741">
        <v>217</v>
      </c>
      <c r="H741">
        <v>116</v>
      </c>
      <c r="I741">
        <v>1</v>
      </c>
      <c r="J741">
        <v>0.51228398270258901</v>
      </c>
      <c r="L741">
        <v>-7.2919122228022701E-2</v>
      </c>
      <c r="M741">
        <v>0.465437788018433</v>
      </c>
      <c r="O741">
        <v>-7.2919122228022701E-2</v>
      </c>
    </row>
    <row r="742" spans="1:15" hidden="1" x14ac:dyDescent="0.3">
      <c r="A742" t="s">
        <v>32</v>
      </c>
      <c r="B742" t="s">
        <v>285</v>
      </c>
      <c r="C742">
        <v>0</v>
      </c>
      <c r="D742">
        <v>1</v>
      </c>
      <c r="E742">
        <v>116</v>
      </c>
      <c r="F742">
        <v>100</v>
      </c>
      <c r="G742">
        <v>217</v>
      </c>
      <c r="H742">
        <v>116</v>
      </c>
      <c r="I742">
        <v>1</v>
      </c>
      <c r="J742">
        <v>0.51228398270258901</v>
      </c>
      <c r="L742">
        <v>-7.2919122228022701E-2</v>
      </c>
      <c r="M742">
        <v>0.465437788018433</v>
      </c>
      <c r="O742">
        <v>-7.2919122228022701E-2</v>
      </c>
    </row>
    <row r="743" spans="1:15" x14ac:dyDescent="0.3">
      <c r="A743" t="s">
        <v>32</v>
      </c>
      <c r="B743" t="s">
        <v>152</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32</v>
      </c>
      <c r="B744" t="s">
        <v>311</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32</v>
      </c>
      <c r="B745" t="s">
        <v>281</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32</v>
      </c>
      <c r="B746" t="s">
        <v>278</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32</v>
      </c>
      <c r="B747" t="s">
        <v>327</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32</v>
      </c>
      <c r="B748" t="s">
        <v>280</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32</v>
      </c>
      <c r="B749" t="s">
        <v>318</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32</v>
      </c>
      <c r="B750" t="s">
        <v>336</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32</v>
      </c>
      <c r="B751" t="s">
        <v>304</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32</v>
      </c>
      <c r="B752" t="s">
        <v>307</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32</v>
      </c>
      <c r="B753" t="s">
        <v>286</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32</v>
      </c>
      <c r="B754" t="s">
        <v>289</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32</v>
      </c>
      <c r="B755" t="s">
        <v>282</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36</v>
      </c>
      <c r="B756" t="s">
        <v>1</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36</v>
      </c>
      <c r="B757" t="s">
        <v>314</v>
      </c>
      <c r="C757">
        <v>0</v>
      </c>
      <c r="D757">
        <v>1</v>
      </c>
      <c r="E757">
        <v>21</v>
      </c>
      <c r="F757">
        <v>195</v>
      </c>
      <c r="G757">
        <v>217</v>
      </c>
      <c r="H757">
        <v>21</v>
      </c>
      <c r="I757">
        <v>1</v>
      </c>
      <c r="J757">
        <v>0.26324881306978598</v>
      </c>
      <c r="L757">
        <v>-2.2271770159368699E-2</v>
      </c>
      <c r="M757">
        <v>1</v>
      </c>
      <c r="O757">
        <v>-2.2271770159368699E-2</v>
      </c>
    </row>
    <row r="758" spans="1:15" hidden="1" x14ac:dyDescent="0.3">
      <c r="A758" t="s">
        <v>36</v>
      </c>
      <c r="B758" t="s">
        <v>357</v>
      </c>
      <c r="C758">
        <v>0</v>
      </c>
      <c r="D758">
        <v>1</v>
      </c>
      <c r="E758">
        <v>21</v>
      </c>
      <c r="F758">
        <v>195</v>
      </c>
      <c r="G758">
        <v>217</v>
      </c>
      <c r="H758">
        <v>21</v>
      </c>
      <c r="I758">
        <v>1</v>
      </c>
      <c r="J758">
        <v>0.26324881306978598</v>
      </c>
      <c r="L758">
        <v>-2.2271770159368699E-2</v>
      </c>
      <c r="M758">
        <v>1</v>
      </c>
      <c r="O758">
        <v>-2.2271770159368699E-2</v>
      </c>
    </row>
    <row r="759" spans="1:15" hidden="1" x14ac:dyDescent="0.3">
      <c r="A759" t="s">
        <v>36</v>
      </c>
      <c r="B759" t="s">
        <v>356</v>
      </c>
      <c r="C759">
        <v>0</v>
      </c>
      <c r="D759">
        <v>1</v>
      </c>
      <c r="E759">
        <v>21</v>
      </c>
      <c r="F759">
        <v>195</v>
      </c>
      <c r="G759">
        <v>217</v>
      </c>
      <c r="H759">
        <v>21</v>
      </c>
      <c r="I759">
        <v>1</v>
      </c>
      <c r="J759">
        <v>0.26324881306978598</v>
      </c>
      <c r="L759">
        <v>-2.2271770159368699E-2</v>
      </c>
      <c r="M759">
        <v>1</v>
      </c>
      <c r="O759">
        <v>-2.2271770159368699E-2</v>
      </c>
    </row>
    <row r="760" spans="1:15" hidden="1" x14ac:dyDescent="0.3">
      <c r="A760" t="s">
        <v>36</v>
      </c>
      <c r="B760" t="s">
        <v>273</v>
      </c>
      <c r="C760">
        <v>0</v>
      </c>
      <c r="D760">
        <v>5</v>
      </c>
      <c r="E760">
        <v>21</v>
      </c>
      <c r="F760">
        <v>191</v>
      </c>
      <c r="G760">
        <v>217</v>
      </c>
      <c r="H760">
        <v>21</v>
      </c>
      <c r="I760">
        <v>5</v>
      </c>
      <c r="J760">
        <v>0.494966265558689</v>
      </c>
      <c r="L760">
        <v>-5.02688191416664E-2</v>
      </c>
      <c r="M760">
        <v>1</v>
      </c>
      <c r="O760">
        <v>-5.02688191416664E-2</v>
      </c>
    </row>
    <row r="761" spans="1:15" hidden="1" x14ac:dyDescent="0.3">
      <c r="A761" t="s">
        <v>36</v>
      </c>
      <c r="B761" t="s">
        <v>332</v>
      </c>
      <c r="C761">
        <v>0</v>
      </c>
      <c r="D761">
        <v>2</v>
      </c>
      <c r="E761">
        <v>21</v>
      </c>
      <c r="F761">
        <v>194</v>
      </c>
      <c r="G761">
        <v>217</v>
      </c>
      <c r="H761">
        <v>21</v>
      </c>
      <c r="I761">
        <v>2</v>
      </c>
      <c r="J761">
        <v>0.35082268041346898</v>
      </c>
      <c r="L761">
        <v>-3.1570203370643403E-2</v>
      </c>
      <c r="M761">
        <v>1</v>
      </c>
      <c r="O761">
        <v>-3.1570203370643403E-2</v>
      </c>
    </row>
    <row r="762" spans="1:15" hidden="1" x14ac:dyDescent="0.3">
      <c r="A762" t="s">
        <v>36</v>
      </c>
      <c r="B762" t="s">
        <v>355</v>
      </c>
      <c r="C762">
        <v>0</v>
      </c>
      <c r="D762">
        <v>1</v>
      </c>
      <c r="E762">
        <v>21</v>
      </c>
      <c r="F762">
        <v>195</v>
      </c>
      <c r="G762">
        <v>217</v>
      </c>
      <c r="H762">
        <v>21</v>
      </c>
      <c r="I762">
        <v>1</v>
      </c>
      <c r="J762">
        <v>0.26324881306978598</v>
      </c>
      <c r="L762">
        <v>-2.2271770159368699E-2</v>
      </c>
      <c r="M762">
        <v>1</v>
      </c>
      <c r="O762">
        <v>-2.2271770159368699E-2</v>
      </c>
    </row>
    <row r="763" spans="1:15" hidden="1" x14ac:dyDescent="0.3">
      <c r="A763" t="s">
        <v>36</v>
      </c>
      <c r="B763" t="s">
        <v>335</v>
      </c>
      <c r="C763">
        <v>0</v>
      </c>
      <c r="D763">
        <v>3</v>
      </c>
      <c r="E763">
        <v>21</v>
      </c>
      <c r="F763">
        <v>193</v>
      </c>
      <c r="G763">
        <v>217</v>
      </c>
      <c r="H763">
        <v>21</v>
      </c>
      <c r="I763">
        <v>3</v>
      </c>
      <c r="J763">
        <v>0.410894657874665</v>
      </c>
      <c r="L763">
        <v>-3.8755679199660102E-2</v>
      </c>
      <c r="M763">
        <v>1</v>
      </c>
      <c r="O763">
        <v>-3.8755679199660102E-2</v>
      </c>
    </row>
    <row r="764" spans="1:15" hidden="1" x14ac:dyDescent="0.3">
      <c r="A764" t="s">
        <v>36</v>
      </c>
      <c r="B764" t="s">
        <v>266</v>
      </c>
      <c r="C764">
        <v>0</v>
      </c>
      <c r="D764">
        <v>6</v>
      </c>
      <c r="E764">
        <v>21</v>
      </c>
      <c r="F764">
        <v>190</v>
      </c>
      <c r="G764">
        <v>217</v>
      </c>
      <c r="H764">
        <v>21</v>
      </c>
      <c r="I764">
        <v>6</v>
      </c>
      <c r="J764">
        <v>0.526844635076403</v>
      </c>
      <c r="L764">
        <v>-5.5197068009618898E-2</v>
      </c>
      <c r="M764">
        <v>1</v>
      </c>
      <c r="O764">
        <v>-5.5197068009618898E-2</v>
      </c>
    </row>
    <row r="765" spans="1:15" hidden="1" x14ac:dyDescent="0.3">
      <c r="A765" t="s">
        <v>36</v>
      </c>
      <c r="B765" t="s">
        <v>272</v>
      </c>
      <c r="C765">
        <v>0</v>
      </c>
      <c r="D765">
        <v>5</v>
      </c>
      <c r="E765">
        <v>21</v>
      </c>
      <c r="F765">
        <v>191</v>
      </c>
      <c r="G765">
        <v>217</v>
      </c>
      <c r="H765">
        <v>21</v>
      </c>
      <c r="I765">
        <v>5</v>
      </c>
      <c r="J765">
        <v>0.494966265558689</v>
      </c>
      <c r="L765">
        <v>-5.02688191416664E-2</v>
      </c>
      <c r="M765">
        <v>1</v>
      </c>
      <c r="O765">
        <v>-5.02688191416664E-2</v>
      </c>
    </row>
    <row r="766" spans="1:15" hidden="1" x14ac:dyDescent="0.3">
      <c r="A766" t="s">
        <v>36</v>
      </c>
      <c r="B766" t="s">
        <v>310</v>
      </c>
      <c r="C766">
        <v>0</v>
      </c>
      <c r="D766">
        <v>4</v>
      </c>
      <c r="E766">
        <v>21</v>
      </c>
      <c r="F766">
        <v>192</v>
      </c>
      <c r="G766">
        <v>217</v>
      </c>
      <c r="H766">
        <v>21</v>
      </c>
      <c r="I766">
        <v>4</v>
      </c>
      <c r="J766">
        <v>0.45719768855692</v>
      </c>
      <c r="L766">
        <v>-4.4856130401625602E-2</v>
      </c>
      <c r="M766">
        <v>1</v>
      </c>
      <c r="O766">
        <v>-4.4856130401625602E-2</v>
      </c>
    </row>
    <row r="767" spans="1:15" hidden="1" x14ac:dyDescent="0.3">
      <c r="A767" t="s">
        <v>36</v>
      </c>
      <c r="B767" t="s">
        <v>317</v>
      </c>
      <c r="C767">
        <v>0</v>
      </c>
      <c r="D767">
        <v>4</v>
      </c>
      <c r="E767">
        <v>21</v>
      </c>
      <c r="F767">
        <v>192</v>
      </c>
      <c r="G767">
        <v>217</v>
      </c>
      <c r="H767">
        <v>21</v>
      </c>
      <c r="I767">
        <v>4</v>
      </c>
      <c r="J767">
        <v>0.45719768855692</v>
      </c>
      <c r="L767">
        <v>-4.4856130401625602E-2</v>
      </c>
      <c r="M767">
        <v>1</v>
      </c>
      <c r="O767">
        <v>-4.4856130401625602E-2</v>
      </c>
    </row>
    <row r="768" spans="1:15" hidden="1" x14ac:dyDescent="0.3">
      <c r="A768" t="s">
        <v>36</v>
      </c>
      <c r="B768" t="s">
        <v>362</v>
      </c>
      <c r="C768">
        <v>0</v>
      </c>
      <c r="D768">
        <v>1</v>
      </c>
      <c r="E768">
        <v>21</v>
      </c>
      <c r="F768">
        <v>195</v>
      </c>
      <c r="G768">
        <v>217</v>
      </c>
      <c r="H768">
        <v>21</v>
      </c>
      <c r="I768">
        <v>1</v>
      </c>
      <c r="J768">
        <v>0.26324881306978598</v>
      </c>
      <c r="L768">
        <v>-2.2271770159368699E-2</v>
      </c>
      <c r="M768">
        <v>1</v>
      </c>
      <c r="O768">
        <v>-2.2271770159368699E-2</v>
      </c>
    </row>
    <row r="769" spans="1:15" hidden="1" x14ac:dyDescent="0.3">
      <c r="A769" t="s">
        <v>36</v>
      </c>
      <c r="B769" t="s">
        <v>354</v>
      </c>
      <c r="C769">
        <v>0</v>
      </c>
      <c r="D769">
        <v>1</v>
      </c>
      <c r="E769">
        <v>21</v>
      </c>
      <c r="F769">
        <v>195</v>
      </c>
      <c r="G769">
        <v>217</v>
      </c>
      <c r="H769">
        <v>21</v>
      </c>
      <c r="I769">
        <v>1</v>
      </c>
      <c r="J769">
        <v>0.26324881306978598</v>
      </c>
      <c r="L769">
        <v>-2.2271770159368699E-2</v>
      </c>
      <c r="M769">
        <v>1</v>
      </c>
      <c r="O769">
        <v>-2.2271770159368699E-2</v>
      </c>
    </row>
    <row r="770" spans="1:15" hidden="1" x14ac:dyDescent="0.3">
      <c r="A770" t="s">
        <v>36</v>
      </c>
      <c r="B770" t="s">
        <v>353</v>
      </c>
      <c r="C770">
        <v>0</v>
      </c>
      <c r="D770">
        <v>1</v>
      </c>
      <c r="E770">
        <v>21</v>
      </c>
      <c r="F770">
        <v>195</v>
      </c>
      <c r="G770">
        <v>217</v>
      </c>
      <c r="H770">
        <v>21</v>
      </c>
      <c r="I770">
        <v>1</v>
      </c>
      <c r="J770">
        <v>0.26324881306978598</v>
      </c>
      <c r="L770">
        <v>-2.2271770159368699E-2</v>
      </c>
      <c r="M770">
        <v>1</v>
      </c>
      <c r="O770">
        <v>-2.2271770159368699E-2</v>
      </c>
    </row>
    <row r="771" spans="1:15" hidden="1" x14ac:dyDescent="0.3">
      <c r="A771" t="s">
        <v>36</v>
      </c>
      <c r="B771" t="s">
        <v>363</v>
      </c>
      <c r="C771">
        <v>0</v>
      </c>
      <c r="D771">
        <v>1</v>
      </c>
      <c r="E771">
        <v>21</v>
      </c>
      <c r="F771">
        <v>195</v>
      </c>
      <c r="G771">
        <v>217</v>
      </c>
      <c r="H771">
        <v>21</v>
      </c>
      <c r="I771">
        <v>1</v>
      </c>
      <c r="J771">
        <v>0.26324881306978598</v>
      </c>
      <c r="L771">
        <v>-2.2271770159368699E-2</v>
      </c>
      <c r="M771">
        <v>1</v>
      </c>
      <c r="O771">
        <v>-2.2271770159368699E-2</v>
      </c>
    </row>
    <row r="772" spans="1:15" hidden="1" x14ac:dyDescent="0.3">
      <c r="A772" t="s">
        <v>36</v>
      </c>
      <c r="B772" t="s">
        <v>305</v>
      </c>
      <c r="C772">
        <v>0</v>
      </c>
      <c r="D772">
        <v>1</v>
      </c>
      <c r="E772">
        <v>21</v>
      </c>
      <c r="F772">
        <v>195</v>
      </c>
      <c r="G772">
        <v>217</v>
      </c>
      <c r="H772">
        <v>21</v>
      </c>
      <c r="I772">
        <v>1</v>
      </c>
      <c r="J772">
        <v>0.26324881306978598</v>
      </c>
      <c r="L772">
        <v>-2.2271770159368699E-2</v>
      </c>
      <c r="M772">
        <v>1</v>
      </c>
      <c r="O772">
        <v>-2.2271770159368699E-2</v>
      </c>
    </row>
    <row r="773" spans="1:15" hidden="1" x14ac:dyDescent="0.3">
      <c r="A773" t="s">
        <v>36</v>
      </c>
      <c r="B773" t="s">
        <v>339</v>
      </c>
      <c r="C773">
        <v>0</v>
      </c>
      <c r="D773">
        <v>7</v>
      </c>
      <c r="E773">
        <v>21</v>
      </c>
      <c r="F773">
        <v>189</v>
      </c>
      <c r="G773">
        <v>217</v>
      </c>
      <c r="H773">
        <v>21</v>
      </c>
      <c r="I773">
        <v>7</v>
      </c>
      <c r="J773">
        <v>0.55438074364673695</v>
      </c>
      <c r="L773">
        <v>-5.9761430466719598E-2</v>
      </c>
      <c r="M773">
        <v>1</v>
      </c>
      <c r="O773">
        <v>-5.9761430466719598E-2</v>
      </c>
    </row>
    <row r="774" spans="1:15" hidden="1" x14ac:dyDescent="0.3">
      <c r="A774" t="s">
        <v>36</v>
      </c>
      <c r="B774" t="s">
        <v>248</v>
      </c>
      <c r="C774">
        <v>0</v>
      </c>
      <c r="D774">
        <v>6</v>
      </c>
      <c r="E774">
        <v>21</v>
      </c>
      <c r="F774">
        <v>190</v>
      </c>
      <c r="G774">
        <v>217</v>
      </c>
      <c r="H774">
        <v>21</v>
      </c>
      <c r="I774">
        <v>6</v>
      </c>
      <c r="J774">
        <v>0.526844635076403</v>
      </c>
      <c r="L774">
        <v>-5.5197068009618898E-2</v>
      </c>
      <c r="M774">
        <v>1</v>
      </c>
      <c r="O774">
        <v>-5.5197068009618898E-2</v>
      </c>
    </row>
    <row r="775" spans="1:15" hidden="1" x14ac:dyDescent="0.3">
      <c r="A775" t="s">
        <v>36</v>
      </c>
      <c r="B775" t="s">
        <v>342</v>
      </c>
      <c r="C775">
        <v>0</v>
      </c>
      <c r="D775">
        <v>1</v>
      </c>
      <c r="E775">
        <v>21</v>
      </c>
      <c r="F775">
        <v>195</v>
      </c>
      <c r="G775">
        <v>217</v>
      </c>
      <c r="H775">
        <v>21</v>
      </c>
      <c r="I775">
        <v>1</v>
      </c>
      <c r="J775">
        <v>0.26324881306978598</v>
      </c>
      <c r="L775">
        <v>-2.2271770159368699E-2</v>
      </c>
      <c r="M775">
        <v>1</v>
      </c>
      <c r="O775">
        <v>-2.2271770159368699E-2</v>
      </c>
    </row>
    <row r="776" spans="1:15" hidden="1" x14ac:dyDescent="0.3">
      <c r="A776" t="s">
        <v>36</v>
      </c>
      <c r="B776" t="s">
        <v>300</v>
      </c>
      <c r="C776">
        <v>0</v>
      </c>
      <c r="D776">
        <v>1</v>
      </c>
      <c r="E776">
        <v>21</v>
      </c>
      <c r="F776">
        <v>195</v>
      </c>
      <c r="G776">
        <v>217</v>
      </c>
      <c r="H776">
        <v>21</v>
      </c>
      <c r="I776">
        <v>1</v>
      </c>
      <c r="J776">
        <v>0.26324881306978598</v>
      </c>
      <c r="L776">
        <v>-2.2271770159368699E-2</v>
      </c>
      <c r="M776">
        <v>1</v>
      </c>
      <c r="O776">
        <v>-2.2271770159368699E-2</v>
      </c>
    </row>
    <row r="777" spans="1:15" hidden="1" x14ac:dyDescent="0.3">
      <c r="A777" t="s">
        <v>36</v>
      </c>
      <c r="B777" t="s">
        <v>265</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36</v>
      </c>
      <c r="B778" t="s">
        <v>255</v>
      </c>
      <c r="C778">
        <v>0</v>
      </c>
      <c r="D778">
        <v>2</v>
      </c>
      <c r="E778">
        <v>21</v>
      </c>
      <c r="F778">
        <v>194</v>
      </c>
      <c r="G778">
        <v>217</v>
      </c>
      <c r="H778">
        <v>21</v>
      </c>
      <c r="I778">
        <v>2</v>
      </c>
      <c r="J778">
        <v>0.35082268041346898</v>
      </c>
      <c r="L778">
        <v>-3.1570203370643403E-2</v>
      </c>
      <c r="M778">
        <v>1</v>
      </c>
      <c r="O778">
        <v>-3.1570203370643403E-2</v>
      </c>
    </row>
    <row r="779" spans="1:15" hidden="1" x14ac:dyDescent="0.3">
      <c r="A779" t="s">
        <v>36</v>
      </c>
      <c r="B779" t="s">
        <v>296</v>
      </c>
      <c r="C779">
        <v>0</v>
      </c>
      <c r="D779">
        <v>4</v>
      </c>
      <c r="E779">
        <v>21</v>
      </c>
      <c r="F779">
        <v>192</v>
      </c>
      <c r="G779">
        <v>217</v>
      </c>
      <c r="H779">
        <v>21</v>
      </c>
      <c r="I779">
        <v>4</v>
      </c>
      <c r="J779">
        <v>0.45719768855692</v>
      </c>
      <c r="L779">
        <v>-4.4856130401625602E-2</v>
      </c>
      <c r="M779">
        <v>1</v>
      </c>
      <c r="O779">
        <v>-4.4856130401625602E-2</v>
      </c>
    </row>
    <row r="780" spans="1:15" hidden="1" x14ac:dyDescent="0.3">
      <c r="A780" t="s">
        <v>36</v>
      </c>
      <c r="B780" t="s">
        <v>240</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36</v>
      </c>
      <c r="B781" t="s">
        <v>343</v>
      </c>
      <c r="C781">
        <v>0</v>
      </c>
      <c r="D781">
        <v>1</v>
      </c>
      <c r="E781">
        <v>21</v>
      </c>
      <c r="F781">
        <v>195</v>
      </c>
      <c r="G781">
        <v>217</v>
      </c>
      <c r="H781">
        <v>21</v>
      </c>
      <c r="I781">
        <v>1</v>
      </c>
      <c r="J781">
        <v>0.26324881306978598</v>
      </c>
      <c r="L781">
        <v>-2.2271770159368699E-2</v>
      </c>
      <c r="M781">
        <v>1</v>
      </c>
      <c r="O781">
        <v>-2.2271770159368699E-2</v>
      </c>
    </row>
    <row r="782" spans="1:15" hidden="1" x14ac:dyDescent="0.3">
      <c r="A782" t="s">
        <v>36</v>
      </c>
      <c r="B782" t="s">
        <v>344</v>
      </c>
      <c r="C782">
        <v>0</v>
      </c>
      <c r="D782">
        <v>1</v>
      </c>
      <c r="E782">
        <v>21</v>
      </c>
      <c r="F782">
        <v>195</v>
      </c>
      <c r="G782">
        <v>217</v>
      </c>
      <c r="H782">
        <v>21</v>
      </c>
      <c r="I782">
        <v>1</v>
      </c>
      <c r="J782">
        <v>0.26324881306978598</v>
      </c>
      <c r="L782">
        <v>-2.2271770159368699E-2</v>
      </c>
      <c r="M782">
        <v>1</v>
      </c>
      <c r="O782">
        <v>-2.2271770159368699E-2</v>
      </c>
    </row>
    <row r="783" spans="1:15" hidden="1" x14ac:dyDescent="0.3">
      <c r="A783" t="s">
        <v>36</v>
      </c>
      <c r="B783" t="s">
        <v>333</v>
      </c>
      <c r="C783">
        <v>0</v>
      </c>
      <c r="D783">
        <v>3</v>
      </c>
      <c r="E783">
        <v>21</v>
      </c>
      <c r="F783">
        <v>193</v>
      </c>
      <c r="G783">
        <v>217</v>
      </c>
      <c r="H783">
        <v>21</v>
      </c>
      <c r="I783">
        <v>3</v>
      </c>
      <c r="J783">
        <v>0.410894657874665</v>
      </c>
      <c r="L783">
        <v>-3.8755679199660102E-2</v>
      </c>
      <c r="M783">
        <v>1</v>
      </c>
      <c r="O783">
        <v>-3.8755679199660102E-2</v>
      </c>
    </row>
    <row r="784" spans="1:15" hidden="1" x14ac:dyDescent="0.3">
      <c r="A784" t="s">
        <v>36</v>
      </c>
      <c r="B784" t="s">
        <v>254</v>
      </c>
      <c r="C784">
        <v>0</v>
      </c>
      <c r="D784">
        <v>2</v>
      </c>
      <c r="E784">
        <v>21</v>
      </c>
      <c r="F784">
        <v>194</v>
      </c>
      <c r="G784">
        <v>217</v>
      </c>
      <c r="H784">
        <v>21</v>
      </c>
      <c r="I784">
        <v>2</v>
      </c>
      <c r="J784">
        <v>0.35082268041346898</v>
      </c>
      <c r="L784">
        <v>-3.1570203370643403E-2</v>
      </c>
      <c r="M784">
        <v>1</v>
      </c>
      <c r="O784">
        <v>-3.1570203370643403E-2</v>
      </c>
    </row>
    <row r="785" spans="1:15" hidden="1" x14ac:dyDescent="0.3">
      <c r="A785" t="s">
        <v>36</v>
      </c>
      <c r="B785" t="s">
        <v>221</v>
      </c>
      <c r="C785">
        <v>0</v>
      </c>
      <c r="D785">
        <v>5</v>
      </c>
      <c r="E785">
        <v>21</v>
      </c>
      <c r="F785">
        <v>191</v>
      </c>
      <c r="G785">
        <v>217</v>
      </c>
      <c r="H785">
        <v>21</v>
      </c>
      <c r="I785">
        <v>5</v>
      </c>
      <c r="J785">
        <v>0.494966265558689</v>
      </c>
      <c r="L785">
        <v>-5.02688191416664E-2</v>
      </c>
      <c r="M785">
        <v>1</v>
      </c>
      <c r="O785">
        <v>-5.02688191416664E-2</v>
      </c>
    </row>
    <row r="786" spans="1:15" hidden="1" x14ac:dyDescent="0.3">
      <c r="A786" t="s">
        <v>36</v>
      </c>
      <c r="B786" t="s">
        <v>322</v>
      </c>
      <c r="C786">
        <v>0</v>
      </c>
      <c r="D786">
        <v>2</v>
      </c>
      <c r="E786">
        <v>21</v>
      </c>
      <c r="F786">
        <v>194</v>
      </c>
      <c r="G786">
        <v>217</v>
      </c>
      <c r="H786">
        <v>21</v>
      </c>
      <c r="I786">
        <v>2</v>
      </c>
      <c r="J786">
        <v>0.35082268041346898</v>
      </c>
      <c r="L786">
        <v>-3.1570203370643403E-2</v>
      </c>
      <c r="M786">
        <v>1</v>
      </c>
      <c r="O786">
        <v>-3.1570203370643403E-2</v>
      </c>
    </row>
    <row r="787" spans="1:15" hidden="1" x14ac:dyDescent="0.3">
      <c r="A787" t="s">
        <v>36</v>
      </c>
      <c r="B787" t="s">
        <v>303</v>
      </c>
      <c r="C787">
        <v>0</v>
      </c>
      <c r="D787">
        <v>1</v>
      </c>
      <c r="E787">
        <v>21</v>
      </c>
      <c r="F787">
        <v>195</v>
      </c>
      <c r="G787">
        <v>217</v>
      </c>
      <c r="H787">
        <v>21</v>
      </c>
      <c r="I787">
        <v>1</v>
      </c>
      <c r="J787">
        <v>0.26324881306978598</v>
      </c>
      <c r="L787">
        <v>-2.2271770159368699E-2</v>
      </c>
      <c r="M787">
        <v>1</v>
      </c>
      <c r="O787">
        <v>-2.2271770159368699E-2</v>
      </c>
    </row>
    <row r="788" spans="1:15" hidden="1" x14ac:dyDescent="0.3">
      <c r="A788" t="s">
        <v>36</v>
      </c>
      <c r="B788" t="s">
        <v>302</v>
      </c>
      <c r="C788">
        <v>0</v>
      </c>
      <c r="D788">
        <v>1</v>
      </c>
      <c r="E788">
        <v>21</v>
      </c>
      <c r="F788">
        <v>195</v>
      </c>
      <c r="G788">
        <v>217</v>
      </c>
      <c r="H788">
        <v>21</v>
      </c>
      <c r="I788">
        <v>1</v>
      </c>
      <c r="J788">
        <v>0.26324881306978598</v>
      </c>
      <c r="L788">
        <v>-2.2271770159368699E-2</v>
      </c>
      <c r="M788">
        <v>1</v>
      </c>
      <c r="O788">
        <v>-2.2271770159368699E-2</v>
      </c>
    </row>
    <row r="789" spans="1:15" hidden="1" x14ac:dyDescent="0.3">
      <c r="A789" t="s">
        <v>36</v>
      </c>
      <c r="B789" t="s">
        <v>284</v>
      </c>
      <c r="C789">
        <v>0</v>
      </c>
      <c r="D789">
        <v>1</v>
      </c>
      <c r="E789">
        <v>21</v>
      </c>
      <c r="F789">
        <v>195</v>
      </c>
      <c r="G789">
        <v>217</v>
      </c>
      <c r="H789">
        <v>21</v>
      </c>
      <c r="I789">
        <v>1</v>
      </c>
      <c r="J789">
        <v>0.26324881306978598</v>
      </c>
      <c r="L789">
        <v>-2.2271770159368699E-2</v>
      </c>
      <c r="M789">
        <v>1</v>
      </c>
      <c r="O789">
        <v>-2.2271770159368699E-2</v>
      </c>
    </row>
    <row r="790" spans="1:15" hidden="1" x14ac:dyDescent="0.3">
      <c r="A790" t="s">
        <v>36</v>
      </c>
      <c r="B790" t="s">
        <v>299</v>
      </c>
      <c r="C790">
        <v>0</v>
      </c>
      <c r="D790">
        <v>8</v>
      </c>
      <c r="E790">
        <v>21</v>
      </c>
      <c r="F790">
        <v>188</v>
      </c>
      <c r="G790">
        <v>217</v>
      </c>
      <c r="H790">
        <v>21</v>
      </c>
      <c r="I790">
        <v>8</v>
      </c>
      <c r="J790">
        <v>0.57856880773444797</v>
      </c>
      <c r="L790">
        <v>-6.4040315395060596E-2</v>
      </c>
      <c r="M790">
        <v>1</v>
      </c>
      <c r="O790">
        <v>-6.4040315395060596E-2</v>
      </c>
    </row>
    <row r="791" spans="1:15" hidden="1" x14ac:dyDescent="0.3">
      <c r="A791" t="s">
        <v>36</v>
      </c>
      <c r="B791" t="s">
        <v>301</v>
      </c>
      <c r="C791">
        <v>0</v>
      </c>
      <c r="D791">
        <v>1</v>
      </c>
      <c r="E791">
        <v>21</v>
      </c>
      <c r="F791">
        <v>195</v>
      </c>
      <c r="G791">
        <v>217</v>
      </c>
      <c r="H791">
        <v>21</v>
      </c>
      <c r="I791">
        <v>1</v>
      </c>
      <c r="J791">
        <v>0.26324881306978598</v>
      </c>
      <c r="L791">
        <v>-2.2271770159368699E-2</v>
      </c>
      <c r="M791">
        <v>1</v>
      </c>
      <c r="O791">
        <v>-2.2271770159368699E-2</v>
      </c>
    </row>
    <row r="792" spans="1:15" hidden="1" x14ac:dyDescent="0.3">
      <c r="A792" t="s">
        <v>36</v>
      </c>
      <c r="B792" t="s">
        <v>290</v>
      </c>
      <c r="C792">
        <v>0</v>
      </c>
      <c r="D792">
        <v>1</v>
      </c>
      <c r="E792">
        <v>21</v>
      </c>
      <c r="F792">
        <v>195</v>
      </c>
      <c r="G792">
        <v>217</v>
      </c>
      <c r="H792">
        <v>21</v>
      </c>
      <c r="I792">
        <v>1</v>
      </c>
      <c r="J792">
        <v>0.26324881306978598</v>
      </c>
      <c r="L792">
        <v>-2.2271770159368699E-2</v>
      </c>
      <c r="M792">
        <v>1</v>
      </c>
      <c r="O792">
        <v>-2.2271770159368699E-2</v>
      </c>
    </row>
    <row r="793" spans="1:15" hidden="1" x14ac:dyDescent="0.3">
      <c r="A793" t="s">
        <v>36</v>
      </c>
      <c r="B793" t="s">
        <v>337</v>
      </c>
      <c r="C793">
        <v>0</v>
      </c>
      <c r="D793">
        <v>3</v>
      </c>
      <c r="E793">
        <v>21</v>
      </c>
      <c r="F793">
        <v>193</v>
      </c>
      <c r="G793">
        <v>217</v>
      </c>
      <c r="H793">
        <v>21</v>
      </c>
      <c r="I793">
        <v>3</v>
      </c>
      <c r="J793">
        <v>0.410894657874665</v>
      </c>
      <c r="L793">
        <v>-3.8755679199660102E-2</v>
      </c>
      <c r="M793">
        <v>1</v>
      </c>
      <c r="O793">
        <v>-3.8755679199660102E-2</v>
      </c>
    </row>
    <row r="794" spans="1:15" hidden="1" x14ac:dyDescent="0.3">
      <c r="A794" t="s">
        <v>36</v>
      </c>
      <c r="B794" t="s">
        <v>250</v>
      </c>
      <c r="C794">
        <v>0</v>
      </c>
      <c r="D794">
        <v>4</v>
      </c>
      <c r="E794">
        <v>21</v>
      </c>
      <c r="F794">
        <v>192</v>
      </c>
      <c r="G794">
        <v>217</v>
      </c>
      <c r="H794">
        <v>21</v>
      </c>
      <c r="I794">
        <v>4</v>
      </c>
      <c r="J794">
        <v>0.45719768855692</v>
      </c>
      <c r="L794">
        <v>-4.4856130401625602E-2</v>
      </c>
      <c r="M794">
        <v>1</v>
      </c>
      <c r="O794">
        <v>-4.4856130401625602E-2</v>
      </c>
    </row>
    <row r="795" spans="1:15" hidden="1" x14ac:dyDescent="0.3">
      <c r="A795" t="s">
        <v>36</v>
      </c>
      <c r="B795" t="s">
        <v>347</v>
      </c>
      <c r="C795">
        <v>0</v>
      </c>
      <c r="D795">
        <v>1</v>
      </c>
      <c r="E795">
        <v>21</v>
      </c>
      <c r="F795">
        <v>195</v>
      </c>
      <c r="G795">
        <v>217</v>
      </c>
      <c r="H795">
        <v>21</v>
      </c>
      <c r="I795">
        <v>1</v>
      </c>
      <c r="J795">
        <v>0.26324881306978598</v>
      </c>
      <c r="L795">
        <v>-2.2271770159368699E-2</v>
      </c>
      <c r="M795">
        <v>1</v>
      </c>
      <c r="O795">
        <v>-2.2271770159368699E-2</v>
      </c>
    </row>
    <row r="796" spans="1:15" hidden="1" x14ac:dyDescent="0.3">
      <c r="A796" t="s">
        <v>36</v>
      </c>
      <c r="B796" t="s">
        <v>153</v>
      </c>
      <c r="C796">
        <v>0</v>
      </c>
      <c r="D796">
        <v>2</v>
      </c>
      <c r="E796">
        <v>21</v>
      </c>
      <c r="F796">
        <v>194</v>
      </c>
      <c r="G796">
        <v>217</v>
      </c>
      <c r="H796">
        <v>21</v>
      </c>
      <c r="I796">
        <v>2</v>
      </c>
      <c r="J796">
        <v>0.35082268041346898</v>
      </c>
      <c r="L796">
        <v>-3.1570203370643403E-2</v>
      </c>
      <c r="M796">
        <v>1</v>
      </c>
      <c r="O796">
        <v>-3.1570203370643403E-2</v>
      </c>
    </row>
    <row r="797" spans="1:15" hidden="1" x14ac:dyDescent="0.3">
      <c r="A797" t="s">
        <v>36</v>
      </c>
      <c r="B797" t="s">
        <v>283</v>
      </c>
      <c r="C797">
        <v>0</v>
      </c>
      <c r="D797">
        <v>1</v>
      </c>
      <c r="E797">
        <v>21</v>
      </c>
      <c r="F797">
        <v>195</v>
      </c>
      <c r="G797">
        <v>217</v>
      </c>
      <c r="H797">
        <v>21</v>
      </c>
      <c r="I797">
        <v>1</v>
      </c>
      <c r="J797">
        <v>0.26324881306978598</v>
      </c>
      <c r="L797">
        <v>-2.2271770159368699E-2</v>
      </c>
      <c r="M797">
        <v>1</v>
      </c>
      <c r="O797">
        <v>-2.2271770159368699E-2</v>
      </c>
    </row>
    <row r="798" spans="1:15" hidden="1" x14ac:dyDescent="0.3">
      <c r="A798" t="s">
        <v>36</v>
      </c>
      <c r="B798" t="s">
        <v>5</v>
      </c>
      <c r="C798">
        <v>0</v>
      </c>
      <c r="D798">
        <v>3</v>
      </c>
      <c r="E798">
        <v>21</v>
      </c>
      <c r="F798">
        <v>193</v>
      </c>
      <c r="G798">
        <v>217</v>
      </c>
      <c r="H798">
        <v>21</v>
      </c>
      <c r="I798">
        <v>3</v>
      </c>
      <c r="J798">
        <v>0.410894657874665</v>
      </c>
      <c r="L798">
        <v>-3.8755679199660102E-2</v>
      </c>
      <c r="M798">
        <v>1</v>
      </c>
      <c r="O798">
        <v>-3.8755679199660102E-2</v>
      </c>
    </row>
    <row r="799" spans="1:15" hidden="1" x14ac:dyDescent="0.3">
      <c r="A799" t="s">
        <v>36</v>
      </c>
      <c r="B799" t="s">
        <v>220</v>
      </c>
      <c r="C799">
        <v>0</v>
      </c>
      <c r="D799">
        <v>5</v>
      </c>
      <c r="E799">
        <v>21</v>
      </c>
      <c r="F799">
        <v>191</v>
      </c>
      <c r="G799">
        <v>217</v>
      </c>
      <c r="H799">
        <v>21</v>
      </c>
      <c r="I799">
        <v>5</v>
      </c>
      <c r="J799">
        <v>0.494966265558689</v>
      </c>
      <c r="L799">
        <v>-5.02688191416664E-2</v>
      </c>
      <c r="M799">
        <v>1</v>
      </c>
      <c r="O799">
        <v>-5.02688191416664E-2</v>
      </c>
    </row>
    <row r="800" spans="1:15" hidden="1" x14ac:dyDescent="0.3">
      <c r="A800" t="s">
        <v>36</v>
      </c>
      <c r="B800" t="s">
        <v>201</v>
      </c>
      <c r="C800">
        <v>0</v>
      </c>
      <c r="D800">
        <v>4</v>
      </c>
      <c r="E800">
        <v>21</v>
      </c>
      <c r="F800">
        <v>192</v>
      </c>
      <c r="G800">
        <v>217</v>
      </c>
      <c r="H800">
        <v>21</v>
      </c>
      <c r="I800">
        <v>4</v>
      </c>
      <c r="J800">
        <v>0.45719768855692</v>
      </c>
      <c r="L800">
        <v>-4.4856130401625602E-2</v>
      </c>
      <c r="M800">
        <v>1</v>
      </c>
      <c r="O800">
        <v>-4.4856130401625602E-2</v>
      </c>
    </row>
    <row r="801" spans="1:15" hidden="1" x14ac:dyDescent="0.3">
      <c r="A801" t="s">
        <v>36</v>
      </c>
      <c r="B801" t="s">
        <v>279</v>
      </c>
      <c r="C801">
        <v>0</v>
      </c>
      <c r="D801">
        <v>1</v>
      </c>
      <c r="E801">
        <v>21</v>
      </c>
      <c r="F801">
        <v>195</v>
      </c>
      <c r="G801">
        <v>217</v>
      </c>
      <c r="H801">
        <v>21</v>
      </c>
      <c r="I801">
        <v>1</v>
      </c>
      <c r="J801">
        <v>0.26324881306978598</v>
      </c>
      <c r="L801">
        <v>-2.2271770159368699E-2</v>
      </c>
      <c r="M801">
        <v>1</v>
      </c>
      <c r="O801">
        <v>-2.2271770159368699E-2</v>
      </c>
    </row>
    <row r="802" spans="1:15" hidden="1" x14ac:dyDescent="0.3">
      <c r="A802" t="s">
        <v>36</v>
      </c>
      <c r="B802" t="s">
        <v>215</v>
      </c>
      <c r="C802">
        <v>0</v>
      </c>
      <c r="D802">
        <v>3</v>
      </c>
      <c r="E802">
        <v>21</v>
      </c>
      <c r="F802">
        <v>193</v>
      </c>
      <c r="G802">
        <v>217</v>
      </c>
      <c r="H802">
        <v>21</v>
      </c>
      <c r="I802">
        <v>3</v>
      </c>
      <c r="J802">
        <v>0.410894657874665</v>
      </c>
      <c r="L802">
        <v>-3.8755679199660102E-2</v>
      </c>
      <c r="M802">
        <v>1</v>
      </c>
      <c r="O802">
        <v>-3.8755679199660102E-2</v>
      </c>
    </row>
    <row r="803" spans="1:15" hidden="1" x14ac:dyDescent="0.3">
      <c r="A803" t="s">
        <v>36</v>
      </c>
      <c r="B803" t="s">
        <v>253</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36</v>
      </c>
      <c r="B804" t="s">
        <v>341</v>
      </c>
      <c r="C804">
        <v>0</v>
      </c>
      <c r="D804">
        <v>1</v>
      </c>
      <c r="E804">
        <v>21</v>
      </c>
      <c r="F804">
        <v>195</v>
      </c>
      <c r="G804">
        <v>217</v>
      </c>
      <c r="H804">
        <v>21</v>
      </c>
      <c r="I804">
        <v>1</v>
      </c>
      <c r="J804">
        <v>0.26324881306978598</v>
      </c>
      <c r="L804">
        <v>-2.2271770159368699E-2</v>
      </c>
      <c r="M804">
        <v>1</v>
      </c>
      <c r="O804">
        <v>-2.2271770159368699E-2</v>
      </c>
    </row>
    <row r="805" spans="1:15" hidden="1" x14ac:dyDescent="0.3">
      <c r="A805" t="s">
        <v>36</v>
      </c>
      <c r="B805" t="s">
        <v>214</v>
      </c>
      <c r="C805">
        <v>0</v>
      </c>
      <c r="D805">
        <v>3</v>
      </c>
      <c r="E805">
        <v>21</v>
      </c>
      <c r="F805">
        <v>193</v>
      </c>
      <c r="G805">
        <v>217</v>
      </c>
      <c r="H805">
        <v>21</v>
      </c>
      <c r="I805">
        <v>3</v>
      </c>
      <c r="J805">
        <v>0.410894657874665</v>
      </c>
      <c r="L805">
        <v>-3.8755679199660102E-2</v>
      </c>
      <c r="M805">
        <v>1</v>
      </c>
      <c r="O805">
        <v>-3.8755679199660102E-2</v>
      </c>
    </row>
    <row r="806" spans="1:15" hidden="1" x14ac:dyDescent="0.3">
      <c r="A806" t="s">
        <v>36</v>
      </c>
      <c r="B806" t="s">
        <v>168</v>
      </c>
      <c r="C806">
        <v>0</v>
      </c>
      <c r="D806">
        <v>5</v>
      </c>
      <c r="E806">
        <v>21</v>
      </c>
      <c r="F806">
        <v>191</v>
      </c>
      <c r="G806">
        <v>217</v>
      </c>
      <c r="H806">
        <v>21</v>
      </c>
      <c r="I806">
        <v>5</v>
      </c>
      <c r="J806">
        <v>0.494966265558689</v>
      </c>
      <c r="L806">
        <v>-5.02688191416664E-2</v>
      </c>
      <c r="M806">
        <v>1</v>
      </c>
      <c r="O806">
        <v>-5.02688191416664E-2</v>
      </c>
    </row>
    <row r="807" spans="1:15" hidden="1" x14ac:dyDescent="0.3">
      <c r="A807" t="s">
        <v>36</v>
      </c>
      <c r="B807" t="s">
        <v>352</v>
      </c>
      <c r="C807">
        <v>0</v>
      </c>
      <c r="D807">
        <v>1</v>
      </c>
      <c r="E807">
        <v>21</v>
      </c>
      <c r="F807">
        <v>195</v>
      </c>
      <c r="G807">
        <v>217</v>
      </c>
      <c r="H807">
        <v>21</v>
      </c>
      <c r="I807">
        <v>1</v>
      </c>
      <c r="J807">
        <v>0.26324881306978598</v>
      </c>
      <c r="L807">
        <v>-2.2271770159368699E-2</v>
      </c>
      <c r="M807">
        <v>1</v>
      </c>
      <c r="O807">
        <v>-2.2271770159368699E-2</v>
      </c>
    </row>
    <row r="808" spans="1:15" x14ac:dyDescent="0.3">
      <c r="A808" t="s">
        <v>36</v>
      </c>
      <c r="B808" t="s">
        <v>169</v>
      </c>
      <c r="C808">
        <v>0</v>
      </c>
      <c r="D808">
        <v>2</v>
      </c>
      <c r="E808">
        <v>21</v>
      </c>
      <c r="F808">
        <v>194</v>
      </c>
      <c r="G808">
        <v>217</v>
      </c>
      <c r="H808">
        <v>21</v>
      </c>
      <c r="I808">
        <v>2</v>
      </c>
      <c r="J808">
        <v>0.35082268041346898</v>
      </c>
      <c r="L808">
        <v>-3.1570203370643403E-2</v>
      </c>
      <c r="M808">
        <v>1</v>
      </c>
      <c r="O808">
        <v>-3.1570203370643403E-2</v>
      </c>
    </row>
    <row r="809" spans="1:15" x14ac:dyDescent="0.3">
      <c r="A809" t="s">
        <v>36</v>
      </c>
      <c r="B809" t="s">
        <v>175</v>
      </c>
      <c r="C809">
        <v>0</v>
      </c>
      <c r="D809">
        <v>1</v>
      </c>
      <c r="E809">
        <v>21</v>
      </c>
      <c r="F809">
        <v>195</v>
      </c>
      <c r="G809">
        <v>217</v>
      </c>
      <c r="H809">
        <v>21</v>
      </c>
      <c r="I809">
        <v>1</v>
      </c>
      <c r="J809">
        <v>0.26324881306978598</v>
      </c>
      <c r="L809">
        <v>-2.2271770159368699E-2</v>
      </c>
      <c r="M809">
        <v>1</v>
      </c>
      <c r="O809">
        <v>-2.2271770159368699E-2</v>
      </c>
    </row>
    <row r="810" spans="1:15" hidden="1" x14ac:dyDescent="0.3">
      <c r="A810" t="s">
        <v>36</v>
      </c>
      <c r="B810" t="s">
        <v>340</v>
      </c>
      <c r="C810">
        <v>0</v>
      </c>
      <c r="D810">
        <v>1</v>
      </c>
      <c r="E810">
        <v>21</v>
      </c>
      <c r="F810">
        <v>195</v>
      </c>
      <c r="G810">
        <v>217</v>
      </c>
      <c r="H810">
        <v>21</v>
      </c>
      <c r="I810">
        <v>1</v>
      </c>
      <c r="J810">
        <v>0.26324881306978598</v>
      </c>
      <c r="L810">
        <v>-2.2271770159368699E-2</v>
      </c>
      <c r="M810">
        <v>1</v>
      </c>
      <c r="O810">
        <v>-2.2271770159368699E-2</v>
      </c>
    </row>
    <row r="811" spans="1:15" hidden="1" x14ac:dyDescent="0.3">
      <c r="A811" t="s">
        <v>36</v>
      </c>
      <c r="B811" t="s">
        <v>190</v>
      </c>
      <c r="C811">
        <v>0</v>
      </c>
      <c r="D811">
        <v>2</v>
      </c>
      <c r="E811">
        <v>21</v>
      </c>
      <c r="F811">
        <v>194</v>
      </c>
      <c r="G811">
        <v>217</v>
      </c>
      <c r="H811">
        <v>21</v>
      </c>
      <c r="I811">
        <v>2</v>
      </c>
      <c r="J811">
        <v>0.35082268041346898</v>
      </c>
      <c r="L811">
        <v>-3.1570203370643403E-2</v>
      </c>
      <c r="M811">
        <v>1</v>
      </c>
      <c r="O811">
        <v>-3.1570203370643403E-2</v>
      </c>
    </row>
    <row r="812" spans="1:15" hidden="1" x14ac:dyDescent="0.3">
      <c r="A812" t="s">
        <v>36</v>
      </c>
      <c r="B812" t="s">
        <v>346</v>
      </c>
      <c r="C812">
        <v>0</v>
      </c>
      <c r="D812">
        <v>1</v>
      </c>
      <c r="E812">
        <v>21</v>
      </c>
      <c r="F812">
        <v>195</v>
      </c>
      <c r="G812">
        <v>217</v>
      </c>
      <c r="H812">
        <v>21</v>
      </c>
      <c r="I812">
        <v>1</v>
      </c>
      <c r="J812">
        <v>0.26324881306978598</v>
      </c>
      <c r="L812">
        <v>-2.2271770159368699E-2</v>
      </c>
      <c r="M812">
        <v>1</v>
      </c>
      <c r="O812">
        <v>-2.2271770159368699E-2</v>
      </c>
    </row>
    <row r="813" spans="1:15" hidden="1" x14ac:dyDescent="0.3">
      <c r="A813" t="s">
        <v>36</v>
      </c>
      <c r="B813" t="s">
        <v>309</v>
      </c>
      <c r="C813">
        <v>0</v>
      </c>
      <c r="D813">
        <v>1</v>
      </c>
      <c r="E813">
        <v>21</v>
      </c>
      <c r="F813">
        <v>195</v>
      </c>
      <c r="G813">
        <v>217</v>
      </c>
      <c r="H813">
        <v>21</v>
      </c>
      <c r="I813">
        <v>1</v>
      </c>
      <c r="J813">
        <v>0.26324881306978598</v>
      </c>
      <c r="L813">
        <v>-2.2271770159368699E-2</v>
      </c>
      <c r="M813">
        <v>1</v>
      </c>
      <c r="O813">
        <v>-2.2271770159368699E-2</v>
      </c>
    </row>
    <row r="814" spans="1:15" hidden="1" x14ac:dyDescent="0.3">
      <c r="A814" t="s">
        <v>36</v>
      </c>
      <c r="B814" t="s">
        <v>148</v>
      </c>
      <c r="C814">
        <v>0</v>
      </c>
      <c r="D814">
        <v>2</v>
      </c>
      <c r="E814">
        <v>21</v>
      </c>
      <c r="F814">
        <v>194</v>
      </c>
      <c r="G814">
        <v>217</v>
      </c>
      <c r="H814">
        <v>21</v>
      </c>
      <c r="I814">
        <v>2</v>
      </c>
      <c r="J814">
        <v>0.35082268041346898</v>
      </c>
      <c r="L814">
        <v>-3.1570203370643403E-2</v>
      </c>
      <c r="M814">
        <v>1</v>
      </c>
      <c r="O814">
        <v>-3.1570203370643403E-2</v>
      </c>
    </row>
    <row r="815" spans="1:15" hidden="1" x14ac:dyDescent="0.3">
      <c r="A815" t="s">
        <v>36</v>
      </c>
      <c r="B815" t="s">
        <v>217</v>
      </c>
      <c r="C815">
        <v>0</v>
      </c>
      <c r="D815">
        <v>1</v>
      </c>
      <c r="E815">
        <v>21</v>
      </c>
      <c r="F815">
        <v>195</v>
      </c>
      <c r="G815">
        <v>217</v>
      </c>
      <c r="H815">
        <v>21</v>
      </c>
      <c r="I815">
        <v>1</v>
      </c>
      <c r="J815">
        <v>0.26324881306978598</v>
      </c>
      <c r="L815">
        <v>-2.2271770159368699E-2</v>
      </c>
      <c r="M815">
        <v>1</v>
      </c>
      <c r="O815">
        <v>-2.2271770159368699E-2</v>
      </c>
    </row>
    <row r="816" spans="1:15" hidden="1" x14ac:dyDescent="0.3">
      <c r="A816" t="s">
        <v>36</v>
      </c>
      <c r="B816" t="s">
        <v>348</v>
      </c>
      <c r="C816">
        <v>0</v>
      </c>
      <c r="D816">
        <v>1</v>
      </c>
      <c r="E816">
        <v>21</v>
      </c>
      <c r="F816">
        <v>195</v>
      </c>
      <c r="G816">
        <v>217</v>
      </c>
      <c r="H816">
        <v>21</v>
      </c>
      <c r="I816">
        <v>1</v>
      </c>
      <c r="J816">
        <v>0.26324881306978598</v>
      </c>
      <c r="L816">
        <v>-2.2271770159368699E-2</v>
      </c>
      <c r="M816">
        <v>1</v>
      </c>
      <c r="O816">
        <v>-2.2271770159368699E-2</v>
      </c>
    </row>
    <row r="817" spans="1:15" hidden="1" x14ac:dyDescent="0.3">
      <c r="A817" t="s">
        <v>36</v>
      </c>
      <c r="B817" t="s">
        <v>349</v>
      </c>
      <c r="C817">
        <v>0</v>
      </c>
      <c r="D817">
        <v>1</v>
      </c>
      <c r="E817">
        <v>21</v>
      </c>
      <c r="F817">
        <v>195</v>
      </c>
      <c r="G817">
        <v>217</v>
      </c>
      <c r="H817">
        <v>21</v>
      </c>
      <c r="I817">
        <v>1</v>
      </c>
      <c r="J817">
        <v>0.26324881306978598</v>
      </c>
      <c r="L817">
        <v>-2.2271770159368699E-2</v>
      </c>
      <c r="M817">
        <v>1</v>
      </c>
      <c r="O817">
        <v>-2.2271770159368699E-2</v>
      </c>
    </row>
    <row r="818" spans="1:15" hidden="1" x14ac:dyDescent="0.3">
      <c r="A818" t="s">
        <v>36</v>
      </c>
      <c r="B818" t="s">
        <v>274</v>
      </c>
      <c r="C818">
        <v>0</v>
      </c>
      <c r="D818">
        <v>5</v>
      </c>
      <c r="E818">
        <v>21</v>
      </c>
      <c r="F818">
        <v>191</v>
      </c>
      <c r="G818">
        <v>217</v>
      </c>
      <c r="H818">
        <v>21</v>
      </c>
      <c r="I818">
        <v>5</v>
      </c>
      <c r="J818">
        <v>0.494966265558689</v>
      </c>
      <c r="L818">
        <v>-5.02688191416664E-2</v>
      </c>
      <c r="M818">
        <v>1</v>
      </c>
      <c r="O818">
        <v>-5.02688191416664E-2</v>
      </c>
    </row>
    <row r="819" spans="1:15" hidden="1" x14ac:dyDescent="0.3">
      <c r="A819" t="s">
        <v>36</v>
      </c>
      <c r="B819" t="s">
        <v>316</v>
      </c>
      <c r="C819">
        <v>0</v>
      </c>
      <c r="D819">
        <v>1</v>
      </c>
      <c r="E819">
        <v>21</v>
      </c>
      <c r="F819">
        <v>195</v>
      </c>
      <c r="G819">
        <v>217</v>
      </c>
      <c r="H819">
        <v>21</v>
      </c>
      <c r="I819">
        <v>1</v>
      </c>
      <c r="J819">
        <v>0.26324881306978598</v>
      </c>
      <c r="L819">
        <v>-2.2271770159368699E-2</v>
      </c>
      <c r="M819">
        <v>1</v>
      </c>
      <c r="O819">
        <v>-2.2271770159368699E-2</v>
      </c>
    </row>
    <row r="820" spans="1:15" hidden="1" x14ac:dyDescent="0.3">
      <c r="A820" t="s">
        <v>36</v>
      </c>
      <c r="B820" t="s">
        <v>350</v>
      </c>
      <c r="C820">
        <v>0</v>
      </c>
      <c r="D820">
        <v>1</v>
      </c>
      <c r="E820">
        <v>21</v>
      </c>
      <c r="F820">
        <v>195</v>
      </c>
      <c r="G820">
        <v>217</v>
      </c>
      <c r="H820">
        <v>21</v>
      </c>
      <c r="I820">
        <v>1</v>
      </c>
      <c r="J820">
        <v>0.26324881306978598</v>
      </c>
      <c r="L820">
        <v>-2.2271770159368699E-2</v>
      </c>
      <c r="M820">
        <v>1</v>
      </c>
      <c r="O820">
        <v>-2.2271770159368699E-2</v>
      </c>
    </row>
    <row r="821" spans="1:15" hidden="1" x14ac:dyDescent="0.3">
      <c r="A821" t="s">
        <v>36</v>
      </c>
      <c r="B821" t="s">
        <v>261</v>
      </c>
      <c r="C821">
        <v>0</v>
      </c>
      <c r="D821">
        <v>4</v>
      </c>
      <c r="E821">
        <v>21</v>
      </c>
      <c r="F821">
        <v>192</v>
      </c>
      <c r="G821">
        <v>217</v>
      </c>
      <c r="H821">
        <v>21</v>
      </c>
      <c r="I821">
        <v>4</v>
      </c>
      <c r="J821">
        <v>0.45719768855692</v>
      </c>
      <c r="L821">
        <v>-4.4856130401625602E-2</v>
      </c>
      <c r="M821">
        <v>1</v>
      </c>
      <c r="O821">
        <v>-4.4856130401625602E-2</v>
      </c>
    </row>
    <row r="822" spans="1:15" hidden="1" x14ac:dyDescent="0.3">
      <c r="A822" t="s">
        <v>36</v>
      </c>
      <c r="B822" t="s">
        <v>277</v>
      </c>
      <c r="C822">
        <v>0</v>
      </c>
      <c r="D822">
        <v>2</v>
      </c>
      <c r="E822">
        <v>21</v>
      </c>
      <c r="F822">
        <v>194</v>
      </c>
      <c r="G822">
        <v>217</v>
      </c>
      <c r="H822">
        <v>21</v>
      </c>
      <c r="I822">
        <v>2</v>
      </c>
      <c r="J822">
        <v>0.35082268041346898</v>
      </c>
      <c r="L822">
        <v>-3.1570203370643403E-2</v>
      </c>
      <c r="M822">
        <v>1</v>
      </c>
      <c r="O822">
        <v>-3.1570203370643403E-2</v>
      </c>
    </row>
    <row r="823" spans="1:15" hidden="1" x14ac:dyDescent="0.3">
      <c r="A823" t="s">
        <v>36</v>
      </c>
      <c r="B823" t="s">
        <v>329</v>
      </c>
      <c r="C823">
        <v>0</v>
      </c>
      <c r="D823">
        <v>2</v>
      </c>
      <c r="E823">
        <v>21</v>
      </c>
      <c r="F823">
        <v>194</v>
      </c>
      <c r="G823">
        <v>217</v>
      </c>
      <c r="H823">
        <v>21</v>
      </c>
      <c r="I823">
        <v>2</v>
      </c>
      <c r="J823">
        <v>0.35082268041346898</v>
      </c>
      <c r="L823">
        <v>-3.1570203370643403E-2</v>
      </c>
      <c r="M823">
        <v>1</v>
      </c>
      <c r="O823">
        <v>-3.1570203370643403E-2</v>
      </c>
    </row>
    <row r="824" spans="1:15" hidden="1" x14ac:dyDescent="0.3">
      <c r="A824" t="s">
        <v>36</v>
      </c>
      <c r="B824" t="s">
        <v>360</v>
      </c>
      <c r="C824">
        <v>0</v>
      </c>
      <c r="D824">
        <v>2</v>
      </c>
      <c r="E824">
        <v>21</v>
      </c>
      <c r="F824">
        <v>194</v>
      </c>
      <c r="G824">
        <v>217</v>
      </c>
      <c r="H824">
        <v>21</v>
      </c>
      <c r="I824">
        <v>2</v>
      </c>
      <c r="J824">
        <v>0.35082268041346898</v>
      </c>
      <c r="L824">
        <v>-3.1570203370643403E-2</v>
      </c>
      <c r="M824">
        <v>1</v>
      </c>
      <c r="O824">
        <v>-3.1570203370643403E-2</v>
      </c>
    </row>
    <row r="825" spans="1:15" hidden="1" x14ac:dyDescent="0.3">
      <c r="A825" t="s">
        <v>36</v>
      </c>
      <c r="B825" t="s">
        <v>358</v>
      </c>
      <c r="C825">
        <v>0</v>
      </c>
      <c r="D825">
        <v>2</v>
      </c>
      <c r="E825">
        <v>21</v>
      </c>
      <c r="F825">
        <v>194</v>
      </c>
      <c r="G825">
        <v>217</v>
      </c>
      <c r="H825">
        <v>21</v>
      </c>
      <c r="I825">
        <v>2</v>
      </c>
      <c r="J825">
        <v>0.35082268041346898</v>
      </c>
      <c r="L825">
        <v>-3.1570203370643403E-2</v>
      </c>
      <c r="M825">
        <v>1</v>
      </c>
      <c r="O825">
        <v>-3.1570203370643403E-2</v>
      </c>
    </row>
    <row r="826" spans="1:15" hidden="1" x14ac:dyDescent="0.3">
      <c r="A826" t="s">
        <v>36</v>
      </c>
      <c r="B826" t="s">
        <v>312</v>
      </c>
      <c r="C826">
        <v>0</v>
      </c>
      <c r="D826">
        <v>1</v>
      </c>
      <c r="E826">
        <v>21</v>
      </c>
      <c r="F826">
        <v>195</v>
      </c>
      <c r="G826">
        <v>217</v>
      </c>
      <c r="H826">
        <v>21</v>
      </c>
      <c r="I826">
        <v>1</v>
      </c>
      <c r="J826">
        <v>0.26324881306978598</v>
      </c>
      <c r="L826">
        <v>-2.2271770159368699E-2</v>
      </c>
      <c r="M826">
        <v>1</v>
      </c>
      <c r="O826">
        <v>-2.2271770159368699E-2</v>
      </c>
    </row>
    <row r="827" spans="1:15" hidden="1" x14ac:dyDescent="0.3">
      <c r="A827" t="s">
        <v>36</v>
      </c>
      <c r="B827" t="s">
        <v>361</v>
      </c>
      <c r="C827">
        <v>0</v>
      </c>
      <c r="D827">
        <v>4</v>
      </c>
      <c r="E827">
        <v>21</v>
      </c>
      <c r="F827">
        <v>192</v>
      </c>
      <c r="G827">
        <v>217</v>
      </c>
      <c r="H827">
        <v>21</v>
      </c>
      <c r="I827">
        <v>4</v>
      </c>
      <c r="J827">
        <v>0.45719768855692</v>
      </c>
      <c r="L827">
        <v>-4.4856130401625602E-2</v>
      </c>
      <c r="M827">
        <v>1</v>
      </c>
      <c r="O827">
        <v>-4.4856130401625602E-2</v>
      </c>
    </row>
    <row r="828" spans="1:15" hidden="1" x14ac:dyDescent="0.3">
      <c r="A828" t="s">
        <v>36</v>
      </c>
      <c r="B828" t="s">
        <v>288</v>
      </c>
      <c r="C828">
        <v>0</v>
      </c>
      <c r="D828">
        <v>1</v>
      </c>
      <c r="E828">
        <v>21</v>
      </c>
      <c r="F828">
        <v>195</v>
      </c>
      <c r="G828">
        <v>217</v>
      </c>
      <c r="H828">
        <v>21</v>
      </c>
      <c r="I828">
        <v>1</v>
      </c>
      <c r="J828">
        <v>0.26324881306978598</v>
      </c>
      <c r="L828">
        <v>-2.2271770159368699E-2</v>
      </c>
      <c r="M828">
        <v>1</v>
      </c>
      <c r="O828">
        <v>-2.2271770159368699E-2</v>
      </c>
    </row>
    <row r="829" spans="1:15" hidden="1" x14ac:dyDescent="0.3">
      <c r="A829" t="s">
        <v>36</v>
      </c>
      <c r="B829" t="s">
        <v>345</v>
      </c>
      <c r="C829">
        <v>0</v>
      </c>
      <c r="D829">
        <v>1</v>
      </c>
      <c r="E829">
        <v>21</v>
      </c>
      <c r="F829">
        <v>195</v>
      </c>
      <c r="G829">
        <v>217</v>
      </c>
      <c r="H829">
        <v>21</v>
      </c>
      <c r="I829">
        <v>1</v>
      </c>
      <c r="J829">
        <v>0.26324881306978598</v>
      </c>
      <c r="L829">
        <v>-2.2271770159368699E-2</v>
      </c>
      <c r="M829">
        <v>1</v>
      </c>
      <c r="O829">
        <v>-2.2271770159368699E-2</v>
      </c>
    </row>
    <row r="830" spans="1:15" hidden="1" x14ac:dyDescent="0.3">
      <c r="A830" t="s">
        <v>36</v>
      </c>
      <c r="B830" t="s">
        <v>338</v>
      </c>
      <c r="C830">
        <v>0</v>
      </c>
      <c r="D830">
        <v>5</v>
      </c>
      <c r="E830">
        <v>21</v>
      </c>
      <c r="F830">
        <v>191</v>
      </c>
      <c r="G830">
        <v>217</v>
      </c>
      <c r="H830">
        <v>21</v>
      </c>
      <c r="I830">
        <v>5</v>
      </c>
      <c r="J830">
        <v>0.494966265558689</v>
      </c>
      <c r="L830">
        <v>-5.02688191416664E-2</v>
      </c>
      <c r="M830">
        <v>1</v>
      </c>
      <c r="O830">
        <v>-5.02688191416664E-2</v>
      </c>
    </row>
    <row r="831" spans="1:15" hidden="1" x14ac:dyDescent="0.3">
      <c r="A831" t="s">
        <v>36</v>
      </c>
      <c r="B831" t="s">
        <v>267</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36</v>
      </c>
      <c r="B832" t="s">
        <v>194</v>
      </c>
      <c r="C832">
        <v>0</v>
      </c>
      <c r="D832">
        <v>8</v>
      </c>
      <c r="E832">
        <v>21</v>
      </c>
      <c r="F832">
        <v>188</v>
      </c>
      <c r="G832">
        <v>217</v>
      </c>
      <c r="H832">
        <v>21</v>
      </c>
      <c r="I832">
        <v>8</v>
      </c>
      <c r="J832">
        <v>0.57856880773444797</v>
      </c>
      <c r="L832">
        <v>-6.4040315395060596E-2</v>
      </c>
      <c r="M832">
        <v>1</v>
      </c>
      <c r="O832">
        <v>-6.4040315395060596E-2</v>
      </c>
    </row>
    <row r="833" spans="1:15" hidden="1" x14ac:dyDescent="0.3">
      <c r="A833" t="s">
        <v>36</v>
      </c>
      <c r="B833" t="s">
        <v>328</v>
      </c>
      <c r="C833">
        <v>0</v>
      </c>
      <c r="D833">
        <v>2</v>
      </c>
      <c r="E833">
        <v>21</v>
      </c>
      <c r="F833">
        <v>194</v>
      </c>
      <c r="G833">
        <v>217</v>
      </c>
      <c r="H833">
        <v>21</v>
      </c>
      <c r="I833">
        <v>2</v>
      </c>
      <c r="J833">
        <v>0.35082268041346898</v>
      </c>
      <c r="L833">
        <v>-3.1570203370643403E-2</v>
      </c>
      <c r="M833">
        <v>1</v>
      </c>
      <c r="O833">
        <v>-3.1570203370643403E-2</v>
      </c>
    </row>
    <row r="834" spans="1:15" hidden="1" x14ac:dyDescent="0.3">
      <c r="A834" t="s">
        <v>36</v>
      </c>
      <c r="B834" t="s">
        <v>293</v>
      </c>
      <c r="C834">
        <v>0</v>
      </c>
      <c r="D834">
        <v>2</v>
      </c>
      <c r="E834">
        <v>21</v>
      </c>
      <c r="F834">
        <v>194</v>
      </c>
      <c r="G834">
        <v>217</v>
      </c>
      <c r="H834">
        <v>21</v>
      </c>
      <c r="I834">
        <v>2</v>
      </c>
      <c r="J834">
        <v>0.35082268041346898</v>
      </c>
      <c r="L834">
        <v>-3.1570203370643403E-2</v>
      </c>
      <c r="M834">
        <v>1</v>
      </c>
      <c r="O834">
        <v>-3.1570203370643403E-2</v>
      </c>
    </row>
    <row r="835" spans="1:15" hidden="1" x14ac:dyDescent="0.3">
      <c r="A835" t="s">
        <v>36</v>
      </c>
      <c r="B835" t="s">
        <v>216</v>
      </c>
      <c r="C835">
        <v>0</v>
      </c>
      <c r="D835">
        <v>3</v>
      </c>
      <c r="E835">
        <v>21</v>
      </c>
      <c r="F835">
        <v>193</v>
      </c>
      <c r="G835">
        <v>217</v>
      </c>
      <c r="H835">
        <v>21</v>
      </c>
      <c r="I835">
        <v>3</v>
      </c>
      <c r="J835">
        <v>0.410894657874665</v>
      </c>
      <c r="L835">
        <v>-3.8755679199660102E-2</v>
      </c>
      <c r="M835">
        <v>1</v>
      </c>
      <c r="O835">
        <v>-3.8755679199660102E-2</v>
      </c>
    </row>
    <row r="836" spans="1:15" hidden="1" x14ac:dyDescent="0.3">
      <c r="A836" t="s">
        <v>36</v>
      </c>
      <c r="B836" t="s">
        <v>297</v>
      </c>
      <c r="C836">
        <v>0</v>
      </c>
      <c r="D836">
        <v>1</v>
      </c>
      <c r="E836">
        <v>21</v>
      </c>
      <c r="F836">
        <v>195</v>
      </c>
      <c r="G836">
        <v>217</v>
      </c>
      <c r="H836">
        <v>21</v>
      </c>
      <c r="I836">
        <v>1</v>
      </c>
      <c r="J836">
        <v>0.26324881306978598</v>
      </c>
      <c r="L836">
        <v>-2.2271770159368699E-2</v>
      </c>
      <c r="M836">
        <v>1</v>
      </c>
      <c r="O836">
        <v>-2.2271770159368699E-2</v>
      </c>
    </row>
    <row r="837" spans="1:15" hidden="1" x14ac:dyDescent="0.3">
      <c r="A837" t="s">
        <v>36</v>
      </c>
      <c r="B837" t="s">
        <v>264</v>
      </c>
      <c r="C837">
        <v>0</v>
      </c>
      <c r="D837">
        <v>3</v>
      </c>
      <c r="E837">
        <v>21</v>
      </c>
      <c r="F837">
        <v>193</v>
      </c>
      <c r="G837">
        <v>217</v>
      </c>
      <c r="H837">
        <v>21</v>
      </c>
      <c r="I837">
        <v>3</v>
      </c>
      <c r="J837">
        <v>0.410894657874665</v>
      </c>
      <c r="L837">
        <v>-3.8755679199660102E-2</v>
      </c>
      <c r="M837">
        <v>1</v>
      </c>
      <c r="O837">
        <v>-3.8755679199660102E-2</v>
      </c>
    </row>
    <row r="838" spans="1:15" hidden="1" x14ac:dyDescent="0.3">
      <c r="A838" t="s">
        <v>36</v>
      </c>
      <c r="B838" t="s">
        <v>359</v>
      </c>
      <c r="C838">
        <v>0</v>
      </c>
      <c r="D838">
        <v>2</v>
      </c>
      <c r="E838">
        <v>21</v>
      </c>
      <c r="F838">
        <v>194</v>
      </c>
      <c r="G838">
        <v>217</v>
      </c>
      <c r="H838">
        <v>21</v>
      </c>
      <c r="I838">
        <v>2</v>
      </c>
      <c r="J838">
        <v>0.35082268041346898</v>
      </c>
      <c r="L838">
        <v>-3.1570203370643403E-2</v>
      </c>
      <c r="M838">
        <v>1</v>
      </c>
      <c r="O838">
        <v>-3.1570203370643403E-2</v>
      </c>
    </row>
    <row r="839" spans="1:15" hidden="1" x14ac:dyDescent="0.3">
      <c r="A839" t="s">
        <v>36</v>
      </c>
      <c r="B839" t="s">
        <v>313</v>
      </c>
      <c r="C839">
        <v>0</v>
      </c>
      <c r="D839">
        <v>1</v>
      </c>
      <c r="E839">
        <v>21</v>
      </c>
      <c r="F839">
        <v>195</v>
      </c>
      <c r="G839">
        <v>217</v>
      </c>
      <c r="H839">
        <v>21</v>
      </c>
      <c r="I839">
        <v>1</v>
      </c>
      <c r="J839">
        <v>0.26324881306978598</v>
      </c>
      <c r="L839">
        <v>-2.2271770159368699E-2</v>
      </c>
      <c r="M839">
        <v>1</v>
      </c>
      <c r="O839">
        <v>-2.2271770159368699E-2</v>
      </c>
    </row>
    <row r="840" spans="1:15" hidden="1" x14ac:dyDescent="0.3">
      <c r="A840" t="s">
        <v>36</v>
      </c>
      <c r="B840" t="s">
        <v>331</v>
      </c>
      <c r="C840">
        <v>0</v>
      </c>
      <c r="D840">
        <v>2</v>
      </c>
      <c r="E840">
        <v>21</v>
      </c>
      <c r="F840">
        <v>194</v>
      </c>
      <c r="G840">
        <v>217</v>
      </c>
      <c r="H840">
        <v>21</v>
      </c>
      <c r="I840">
        <v>2</v>
      </c>
      <c r="J840">
        <v>0.35082268041346898</v>
      </c>
      <c r="L840">
        <v>-3.1570203370643403E-2</v>
      </c>
      <c r="M840">
        <v>1</v>
      </c>
      <c r="O840">
        <v>-3.1570203370643403E-2</v>
      </c>
    </row>
    <row r="841" spans="1:15" hidden="1" x14ac:dyDescent="0.3">
      <c r="A841" t="s">
        <v>36</v>
      </c>
      <c r="B841" t="s">
        <v>285</v>
      </c>
      <c r="C841">
        <v>0</v>
      </c>
      <c r="D841">
        <v>1</v>
      </c>
      <c r="E841">
        <v>21</v>
      </c>
      <c r="F841">
        <v>195</v>
      </c>
      <c r="G841">
        <v>217</v>
      </c>
      <c r="H841">
        <v>21</v>
      </c>
      <c r="I841">
        <v>1</v>
      </c>
      <c r="J841">
        <v>0.26324881306978598</v>
      </c>
      <c r="L841">
        <v>-2.2271770159368699E-2</v>
      </c>
      <c r="M841">
        <v>1</v>
      </c>
      <c r="O841">
        <v>-2.2271770159368699E-2</v>
      </c>
    </row>
    <row r="842" spans="1:15" x14ac:dyDescent="0.3">
      <c r="A842" t="s">
        <v>36</v>
      </c>
      <c r="B842" t="s">
        <v>152</v>
      </c>
      <c r="C842">
        <v>0</v>
      </c>
      <c r="D842">
        <v>1</v>
      </c>
      <c r="E842">
        <v>21</v>
      </c>
      <c r="F842">
        <v>195</v>
      </c>
      <c r="G842">
        <v>217</v>
      </c>
      <c r="H842">
        <v>21</v>
      </c>
      <c r="I842">
        <v>1</v>
      </c>
      <c r="J842">
        <v>0.26324881306978598</v>
      </c>
      <c r="L842">
        <v>-2.2271770159368699E-2</v>
      </c>
      <c r="M842">
        <v>1</v>
      </c>
      <c r="O842">
        <v>-2.2271770159368699E-2</v>
      </c>
    </row>
    <row r="843" spans="1:15" hidden="1" x14ac:dyDescent="0.3">
      <c r="A843" t="s">
        <v>36</v>
      </c>
      <c r="B843" t="s">
        <v>311</v>
      </c>
      <c r="C843">
        <v>0</v>
      </c>
      <c r="D843">
        <v>1</v>
      </c>
      <c r="E843">
        <v>21</v>
      </c>
      <c r="F843">
        <v>195</v>
      </c>
      <c r="G843">
        <v>217</v>
      </c>
      <c r="H843">
        <v>21</v>
      </c>
      <c r="I843">
        <v>1</v>
      </c>
      <c r="J843">
        <v>0.26324881306978598</v>
      </c>
      <c r="L843">
        <v>-2.2271770159368699E-2</v>
      </c>
      <c r="M843">
        <v>1</v>
      </c>
      <c r="O843">
        <v>-2.2271770159368699E-2</v>
      </c>
    </row>
    <row r="844" spans="1:15" hidden="1" x14ac:dyDescent="0.3">
      <c r="A844" t="s">
        <v>36</v>
      </c>
      <c r="B844" t="s">
        <v>213</v>
      </c>
      <c r="C844">
        <v>0</v>
      </c>
      <c r="D844">
        <v>2</v>
      </c>
      <c r="E844">
        <v>21</v>
      </c>
      <c r="F844">
        <v>194</v>
      </c>
      <c r="G844">
        <v>217</v>
      </c>
      <c r="H844">
        <v>21</v>
      </c>
      <c r="I844">
        <v>2</v>
      </c>
      <c r="J844">
        <v>0.35082268041346898</v>
      </c>
      <c r="L844">
        <v>-3.1570203370643403E-2</v>
      </c>
      <c r="M844">
        <v>1</v>
      </c>
      <c r="O844">
        <v>-3.1570203370643403E-2</v>
      </c>
    </row>
    <row r="845" spans="1:15" hidden="1" x14ac:dyDescent="0.3">
      <c r="A845" t="s">
        <v>36</v>
      </c>
      <c r="B845" t="s">
        <v>330</v>
      </c>
      <c r="C845">
        <v>0</v>
      </c>
      <c r="D845">
        <v>2</v>
      </c>
      <c r="E845">
        <v>21</v>
      </c>
      <c r="F845">
        <v>194</v>
      </c>
      <c r="G845">
        <v>217</v>
      </c>
      <c r="H845">
        <v>21</v>
      </c>
      <c r="I845">
        <v>2</v>
      </c>
      <c r="J845">
        <v>0.35082268041346898</v>
      </c>
      <c r="L845">
        <v>-3.1570203370643403E-2</v>
      </c>
      <c r="M845">
        <v>1</v>
      </c>
      <c r="O845">
        <v>-3.1570203370643403E-2</v>
      </c>
    </row>
    <row r="846" spans="1:15" hidden="1" x14ac:dyDescent="0.3">
      <c r="A846" t="s">
        <v>36</v>
      </c>
      <c r="B846" t="s">
        <v>252</v>
      </c>
      <c r="C846">
        <v>0</v>
      </c>
      <c r="D846">
        <v>3</v>
      </c>
      <c r="E846">
        <v>21</v>
      </c>
      <c r="F846">
        <v>193</v>
      </c>
      <c r="G846">
        <v>217</v>
      </c>
      <c r="H846">
        <v>21</v>
      </c>
      <c r="I846">
        <v>3</v>
      </c>
      <c r="J846">
        <v>0.410894657874665</v>
      </c>
      <c r="L846">
        <v>-3.8755679199660102E-2</v>
      </c>
      <c r="M846">
        <v>1</v>
      </c>
      <c r="O846">
        <v>-3.8755679199660102E-2</v>
      </c>
    </row>
    <row r="847" spans="1:15" hidden="1" x14ac:dyDescent="0.3">
      <c r="A847" t="s">
        <v>36</v>
      </c>
      <c r="B847" t="s">
        <v>281</v>
      </c>
      <c r="C847">
        <v>0</v>
      </c>
      <c r="D847">
        <v>1</v>
      </c>
      <c r="E847">
        <v>21</v>
      </c>
      <c r="F847">
        <v>195</v>
      </c>
      <c r="G847">
        <v>217</v>
      </c>
      <c r="H847">
        <v>21</v>
      </c>
      <c r="I847">
        <v>1</v>
      </c>
      <c r="J847">
        <v>0.26324881306978598</v>
      </c>
      <c r="L847">
        <v>-2.2271770159368699E-2</v>
      </c>
      <c r="M847">
        <v>1</v>
      </c>
      <c r="O847">
        <v>-2.2271770159368699E-2</v>
      </c>
    </row>
    <row r="848" spans="1:15" hidden="1" x14ac:dyDescent="0.3">
      <c r="A848" t="s">
        <v>36</v>
      </c>
      <c r="B848" t="s">
        <v>324</v>
      </c>
      <c r="C848">
        <v>0</v>
      </c>
      <c r="D848">
        <v>1</v>
      </c>
      <c r="E848">
        <v>21</v>
      </c>
      <c r="F848">
        <v>195</v>
      </c>
      <c r="G848">
        <v>217</v>
      </c>
      <c r="H848">
        <v>21</v>
      </c>
      <c r="I848">
        <v>1</v>
      </c>
      <c r="J848">
        <v>0.26324881306978598</v>
      </c>
      <c r="L848">
        <v>-2.2271770159368699E-2</v>
      </c>
      <c r="M848">
        <v>1</v>
      </c>
      <c r="O848">
        <v>-2.2271770159368699E-2</v>
      </c>
    </row>
    <row r="849" spans="1:15" hidden="1" x14ac:dyDescent="0.3">
      <c r="A849" t="s">
        <v>36</v>
      </c>
      <c r="B849" t="s">
        <v>278</v>
      </c>
      <c r="C849">
        <v>0</v>
      </c>
      <c r="D849">
        <v>2</v>
      </c>
      <c r="E849">
        <v>21</v>
      </c>
      <c r="F849">
        <v>194</v>
      </c>
      <c r="G849">
        <v>217</v>
      </c>
      <c r="H849">
        <v>21</v>
      </c>
      <c r="I849">
        <v>2</v>
      </c>
      <c r="J849">
        <v>0.35082268041346898</v>
      </c>
      <c r="L849">
        <v>-3.1570203370643403E-2</v>
      </c>
      <c r="M849">
        <v>1</v>
      </c>
      <c r="O849">
        <v>-3.1570203370643403E-2</v>
      </c>
    </row>
    <row r="850" spans="1:15" hidden="1" x14ac:dyDescent="0.3">
      <c r="A850" t="s">
        <v>36</v>
      </c>
      <c r="B850" t="s">
        <v>292</v>
      </c>
      <c r="C850">
        <v>0</v>
      </c>
      <c r="D850">
        <v>1</v>
      </c>
      <c r="E850">
        <v>21</v>
      </c>
      <c r="F850">
        <v>195</v>
      </c>
      <c r="G850">
        <v>217</v>
      </c>
      <c r="H850">
        <v>21</v>
      </c>
      <c r="I850">
        <v>1</v>
      </c>
      <c r="J850">
        <v>0.26324881306978598</v>
      </c>
      <c r="L850">
        <v>-2.2271770159368699E-2</v>
      </c>
      <c r="M850">
        <v>1</v>
      </c>
      <c r="O850">
        <v>-2.2271770159368699E-2</v>
      </c>
    </row>
    <row r="851" spans="1:15" hidden="1" x14ac:dyDescent="0.3">
      <c r="A851" t="s">
        <v>36</v>
      </c>
      <c r="B851" t="s">
        <v>172</v>
      </c>
      <c r="C851">
        <v>0</v>
      </c>
      <c r="D851">
        <v>7</v>
      </c>
      <c r="E851">
        <v>21</v>
      </c>
      <c r="F851">
        <v>189</v>
      </c>
      <c r="G851">
        <v>217</v>
      </c>
      <c r="H851">
        <v>21</v>
      </c>
      <c r="I851">
        <v>7</v>
      </c>
      <c r="J851">
        <v>0.55438074364673695</v>
      </c>
      <c r="L851">
        <v>-5.9761430466719598E-2</v>
      </c>
      <c r="M851">
        <v>1</v>
      </c>
      <c r="O851">
        <v>-5.9761430466719598E-2</v>
      </c>
    </row>
    <row r="852" spans="1:15" hidden="1" x14ac:dyDescent="0.3">
      <c r="A852" t="s">
        <v>36</v>
      </c>
      <c r="B852" t="s">
        <v>323</v>
      </c>
      <c r="C852">
        <v>0</v>
      </c>
      <c r="D852">
        <v>1</v>
      </c>
      <c r="E852">
        <v>21</v>
      </c>
      <c r="F852">
        <v>195</v>
      </c>
      <c r="G852">
        <v>217</v>
      </c>
      <c r="H852">
        <v>21</v>
      </c>
      <c r="I852">
        <v>1</v>
      </c>
      <c r="J852">
        <v>0.26324881306978598</v>
      </c>
      <c r="L852">
        <v>-2.2271770159368699E-2</v>
      </c>
      <c r="M852">
        <v>1</v>
      </c>
      <c r="O852">
        <v>-2.2271770159368699E-2</v>
      </c>
    </row>
    <row r="853" spans="1:15" hidden="1" x14ac:dyDescent="0.3">
      <c r="A853" t="s">
        <v>36</v>
      </c>
      <c r="B853" t="s">
        <v>326</v>
      </c>
      <c r="C853">
        <v>0</v>
      </c>
      <c r="D853">
        <v>1</v>
      </c>
      <c r="E853">
        <v>21</v>
      </c>
      <c r="F853">
        <v>195</v>
      </c>
      <c r="G853">
        <v>217</v>
      </c>
      <c r="H853">
        <v>21</v>
      </c>
      <c r="I853">
        <v>1</v>
      </c>
      <c r="J853">
        <v>0.26324881306978598</v>
      </c>
      <c r="L853">
        <v>-2.2271770159368699E-2</v>
      </c>
      <c r="M853">
        <v>1</v>
      </c>
      <c r="O853">
        <v>-2.2271770159368699E-2</v>
      </c>
    </row>
    <row r="854" spans="1:15" hidden="1" x14ac:dyDescent="0.3">
      <c r="A854" t="s">
        <v>36</v>
      </c>
      <c r="B854" t="s">
        <v>325</v>
      </c>
      <c r="C854">
        <v>0</v>
      </c>
      <c r="D854">
        <v>1</v>
      </c>
      <c r="E854">
        <v>21</v>
      </c>
      <c r="F854">
        <v>195</v>
      </c>
      <c r="G854">
        <v>217</v>
      </c>
      <c r="H854">
        <v>21</v>
      </c>
      <c r="I854">
        <v>1</v>
      </c>
      <c r="J854">
        <v>0.26324881306978598</v>
      </c>
      <c r="L854">
        <v>-2.2271770159368699E-2</v>
      </c>
      <c r="M854">
        <v>1</v>
      </c>
      <c r="O854">
        <v>-2.2271770159368699E-2</v>
      </c>
    </row>
    <row r="855" spans="1:15" hidden="1" x14ac:dyDescent="0.3">
      <c r="A855" t="s">
        <v>36</v>
      </c>
      <c r="B855" t="s">
        <v>243</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36</v>
      </c>
      <c r="B856" t="s">
        <v>327</v>
      </c>
      <c r="C856">
        <v>0</v>
      </c>
      <c r="D856">
        <v>1</v>
      </c>
      <c r="E856">
        <v>21</v>
      </c>
      <c r="F856">
        <v>195</v>
      </c>
      <c r="G856">
        <v>217</v>
      </c>
      <c r="H856">
        <v>21</v>
      </c>
      <c r="I856">
        <v>1</v>
      </c>
      <c r="J856">
        <v>0.26324881306978598</v>
      </c>
      <c r="L856">
        <v>-2.2271770159368699E-2</v>
      </c>
      <c r="M856">
        <v>1</v>
      </c>
      <c r="O856">
        <v>-2.2271770159368699E-2</v>
      </c>
    </row>
    <row r="857" spans="1:15" x14ac:dyDescent="0.3">
      <c r="A857" t="s">
        <v>36</v>
      </c>
      <c r="B857" t="s">
        <v>174</v>
      </c>
      <c r="C857">
        <v>0</v>
      </c>
      <c r="D857">
        <v>1</v>
      </c>
      <c r="E857">
        <v>21</v>
      </c>
      <c r="F857">
        <v>195</v>
      </c>
      <c r="G857">
        <v>217</v>
      </c>
      <c r="H857">
        <v>21</v>
      </c>
      <c r="I857">
        <v>1</v>
      </c>
      <c r="J857">
        <v>0.26324881306978598</v>
      </c>
      <c r="L857">
        <v>-2.2271770159368699E-2</v>
      </c>
      <c r="M857">
        <v>1</v>
      </c>
      <c r="O857">
        <v>-2.2271770159368699E-2</v>
      </c>
    </row>
    <row r="858" spans="1:15" hidden="1" x14ac:dyDescent="0.3">
      <c r="A858" t="s">
        <v>36</v>
      </c>
      <c r="B858" t="s">
        <v>260</v>
      </c>
      <c r="C858">
        <v>0</v>
      </c>
      <c r="D858">
        <v>2</v>
      </c>
      <c r="E858">
        <v>21</v>
      </c>
      <c r="F858">
        <v>194</v>
      </c>
      <c r="G858">
        <v>217</v>
      </c>
      <c r="H858">
        <v>21</v>
      </c>
      <c r="I858">
        <v>2</v>
      </c>
      <c r="J858">
        <v>0.35082268041346898</v>
      </c>
      <c r="L858">
        <v>-3.1570203370643403E-2</v>
      </c>
      <c r="M858">
        <v>1</v>
      </c>
      <c r="O858">
        <v>-3.1570203370643403E-2</v>
      </c>
    </row>
    <row r="859" spans="1:15" hidden="1" x14ac:dyDescent="0.3">
      <c r="A859" t="s">
        <v>36</v>
      </c>
      <c r="B859" t="s">
        <v>280</v>
      </c>
      <c r="C859">
        <v>0</v>
      </c>
      <c r="D859">
        <v>1</v>
      </c>
      <c r="E859">
        <v>21</v>
      </c>
      <c r="F859">
        <v>195</v>
      </c>
      <c r="G859">
        <v>217</v>
      </c>
      <c r="H859">
        <v>21</v>
      </c>
      <c r="I859">
        <v>1</v>
      </c>
      <c r="J859">
        <v>0.26324881306978598</v>
      </c>
      <c r="L859">
        <v>-2.2271770159368699E-2</v>
      </c>
      <c r="M859">
        <v>1</v>
      </c>
      <c r="O859">
        <v>-2.2271770159368699E-2</v>
      </c>
    </row>
    <row r="860" spans="1:15" hidden="1" x14ac:dyDescent="0.3">
      <c r="A860" t="s">
        <v>36</v>
      </c>
      <c r="B860" t="s">
        <v>318</v>
      </c>
      <c r="C860">
        <v>0</v>
      </c>
      <c r="D860">
        <v>4</v>
      </c>
      <c r="E860">
        <v>21</v>
      </c>
      <c r="F860">
        <v>192</v>
      </c>
      <c r="G860">
        <v>217</v>
      </c>
      <c r="H860">
        <v>21</v>
      </c>
      <c r="I860">
        <v>4</v>
      </c>
      <c r="J860">
        <v>0.45719768855692</v>
      </c>
      <c r="L860">
        <v>-4.4856130401625602E-2</v>
      </c>
      <c r="M860">
        <v>1</v>
      </c>
      <c r="O860">
        <v>-4.4856130401625602E-2</v>
      </c>
    </row>
    <row r="861" spans="1:15" hidden="1" x14ac:dyDescent="0.3">
      <c r="A861" t="s">
        <v>36</v>
      </c>
      <c r="B861" t="s">
        <v>244</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36</v>
      </c>
      <c r="B862" t="s">
        <v>336</v>
      </c>
      <c r="C862">
        <v>0</v>
      </c>
      <c r="D862">
        <v>3</v>
      </c>
      <c r="E862">
        <v>21</v>
      </c>
      <c r="F862">
        <v>193</v>
      </c>
      <c r="G862">
        <v>217</v>
      </c>
      <c r="H862">
        <v>21</v>
      </c>
      <c r="I862">
        <v>3</v>
      </c>
      <c r="J862">
        <v>0.410894657874665</v>
      </c>
      <c r="L862">
        <v>-3.8755679199660102E-2</v>
      </c>
      <c r="M862">
        <v>1</v>
      </c>
      <c r="O862">
        <v>-3.8755679199660102E-2</v>
      </c>
    </row>
    <row r="863" spans="1:15" hidden="1" x14ac:dyDescent="0.3">
      <c r="A863" t="s">
        <v>36</v>
      </c>
      <c r="B863" t="s">
        <v>304</v>
      </c>
      <c r="C863">
        <v>0</v>
      </c>
      <c r="D863">
        <v>1</v>
      </c>
      <c r="E863">
        <v>21</v>
      </c>
      <c r="F863">
        <v>195</v>
      </c>
      <c r="G863">
        <v>217</v>
      </c>
      <c r="H863">
        <v>21</v>
      </c>
      <c r="I863">
        <v>1</v>
      </c>
      <c r="J863">
        <v>0.26324881306978598</v>
      </c>
      <c r="L863">
        <v>-2.2271770159368699E-2</v>
      </c>
      <c r="M863">
        <v>1</v>
      </c>
      <c r="O863">
        <v>-2.2271770159368699E-2</v>
      </c>
    </row>
    <row r="864" spans="1:15" hidden="1" x14ac:dyDescent="0.3">
      <c r="A864" t="s">
        <v>36</v>
      </c>
      <c r="B864" t="s">
        <v>307</v>
      </c>
      <c r="C864">
        <v>0</v>
      </c>
      <c r="D864">
        <v>1</v>
      </c>
      <c r="E864">
        <v>21</v>
      </c>
      <c r="F864">
        <v>195</v>
      </c>
      <c r="G864">
        <v>217</v>
      </c>
      <c r="H864">
        <v>21</v>
      </c>
      <c r="I864">
        <v>1</v>
      </c>
      <c r="J864">
        <v>0.26324881306978598</v>
      </c>
      <c r="L864">
        <v>-2.2271770159368699E-2</v>
      </c>
      <c r="M864">
        <v>1</v>
      </c>
      <c r="O864">
        <v>-2.2271770159368699E-2</v>
      </c>
    </row>
    <row r="865" spans="1:15" hidden="1" x14ac:dyDescent="0.3">
      <c r="A865" t="s">
        <v>36</v>
      </c>
      <c r="B865" t="s">
        <v>286</v>
      </c>
      <c r="C865">
        <v>0</v>
      </c>
      <c r="D865">
        <v>1</v>
      </c>
      <c r="E865">
        <v>21</v>
      </c>
      <c r="F865">
        <v>195</v>
      </c>
      <c r="G865">
        <v>217</v>
      </c>
      <c r="H865">
        <v>21</v>
      </c>
      <c r="I865">
        <v>1</v>
      </c>
      <c r="J865">
        <v>0.26324881306978598</v>
      </c>
      <c r="L865">
        <v>-2.2271770159368699E-2</v>
      </c>
      <c r="M865">
        <v>1</v>
      </c>
      <c r="O865">
        <v>-2.2271770159368699E-2</v>
      </c>
    </row>
    <row r="866" spans="1:15" hidden="1" x14ac:dyDescent="0.3">
      <c r="A866" t="s">
        <v>36</v>
      </c>
      <c r="B866" t="s">
        <v>289</v>
      </c>
      <c r="C866">
        <v>0</v>
      </c>
      <c r="D866">
        <v>1</v>
      </c>
      <c r="E866">
        <v>21</v>
      </c>
      <c r="F866">
        <v>195</v>
      </c>
      <c r="G866">
        <v>217</v>
      </c>
      <c r="H866">
        <v>21</v>
      </c>
      <c r="I866">
        <v>1</v>
      </c>
      <c r="J866">
        <v>0.26324881306978598</v>
      </c>
      <c r="L866">
        <v>-2.2271770159368699E-2</v>
      </c>
      <c r="M866">
        <v>1</v>
      </c>
      <c r="O866">
        <v>-2.2271770159368699E-2</v>
      </c>
    </row>
    <row r="867" spans="1:15" hidden="1" x14ac:dyDescent="0.3">
      <c r="A867" t="s">
        <v>36</v>
      </c>
      <c r="B867" t="s">
        <v>282</v>
      </c>
      <c r="C867">
        <v>0</v>
      </c>
      <c r="D867">
        <v>1</v>
      </c>
      <c r="E867">
        <v>21</v>
      </c>
      <c r="F867">
        <v>195</v>
      </c>
      <c r="G867">
        <v>217</v>
      </c>
      <c r="H867">
        <v>21</v>
      </c>
      <c r="I867">
        <v>1</v>
      </c>
      <c r="J867">
        <v>0.26324881306978598</v>
      </c>
      <c r="L867">
        <v>-2.2271770159368699E-2</v>
      </c>
      <c r="M867">
        <v>1</v>
      </c>
      <c r="O867">
        <v>-2.2271770159368699E-2</v>
      </c>
    </row>
    <row r="868" spans="1:15" hidden="1" x14ac:dyDescent="0.3">
      <c r="A868" t="s">
        <v>38</v>
      </c>
      <c r="B868" t="s">
        <v>357</v>
      </c>
      <c r="C868">
        <v>0</v>
      </c>
      <c r="D868">
        <v>1</v>
      </c>
      <c r="E868">
        <v>15</v>
      </c>
      <c r="F868">
        <v>201</v>
      </c>
      <c r="G868">
        <v>217</v>
      </c>
      <c r="H868">
        <v>15</v>
      </c>
      <c r="I868">
        <v>1</v>
      </c>
      <c r="J868">
        <v>0.22755841388363099</v>
      </c>
      <c r="L868">
        <v>-1.8541423312082701E-2</v>
      </c>
      <c r="M868">
        <v>1</v>
      </c>
      <c r="O868">
        <v>-1.8541423312082701E-2</v>
      </c>
    </row>
    <row r="869" spans="1:15" hidden="1" x14ac:dyDescent="0.3">
      <c r="A869" t="s">
        <v>38</v>
      </c>
      <c r="B869" t="s">
        <v>356</v>
      </c>
      <c r="C869">
        <v>0</v>
      </c>
      <c r="D869">
        <v>1</v>
      </c>
      <c r="E869">
        <v>15</v>
      </c>
      <c r="F869">
        <v>201</v>
      </c>
      <c r="G869">
        <v>217</v>
      </c>
      <c r="H869">
        <v>15</v>
      </c>
      <c r="I869">
        <v>1</v>
      </c>
      <c r="J869">
        <v>0.22755841388363099</v>
      </c>
      <c r="L869">
        <v>-1.8541423312082701E-2</v>
      </c>
      <c r="M869">
        <v>1</v>
      </c>
      <c r="O869">
        <v>-1.8541423312082701E-2</v>
      </c>
    </row>
    <row r="870" spans="1:15" hidden="1" x14ac:dyDescent="0.3">
      <c r="A870" t="s">
        <v>38</v>
      </c>
      <c r="B870" t="s">
        <v>332</v>
      </c>
      <c r="C870">
        <v>0</v>
      </c>
      <c r="D870">
        <v>2</v>
      </c>
      <c r="E870">
        <v>15</v>
      </c>
      <c r="F870">
        <v>200</v>
      </c>
      <c r="G870">
        <v>217</v>
      </c>
      <c r="H870">
        <v>15</v>
      </c>
      <c r="I870">
        <v>2</v>
      </c>
      <c r="J870">
        <v>0.30590634059779898</v>
      </c>
      <c r="L870">
        <v>-2.62824418784426E-2</v>
      </c>
      <c r="M870">
        <v>1</v>
      </c>
      <c r="O870">
        <v>-2.62824418784426E-2</v>
      </c>
    </row>
    <row r="871" spans="1:15" hidden="1" x14ac:dyDescent="0.3">
      <c r="A871" t="s">
        <v>38</v>
      </c>
      <c r="B871" t="s">
        <v>355</v>
      </c>
      <c r="C871">
        <v>0</v>
      </c>
      <c r="D871">
        <v>1</v>
      </c>
      <c r="E871">
        <v>15</v>
      </c>
      <c r="F871">
        <v>201</v>
      </c>
      <c r="G871">
        <v>217</v>
      </c>
      <c r="H871">
        <v>15</v>
      </c>
      <c r="I871">
        <v>1</v>
      </c>
      <c r="J871">
        <v>0.22755841388363099</v>
      </c>
      <c r="L871">
        <v>-1.8541423312082701E-2</v>
      </c>
      <c r="M871">
        <v>1</v>
      </c>
      <c r="O871">
        <v>-1.8541423312082701E-2</v>
      </c>
    </row>
    <row r="872" spans="1:15" hidden="1" x14ac:dyDescent="0.3">
      <c r="A872" t="s">
        <v>38</v>
      </c>
      <c r="B872" t="s">
        <v>335</v>
      </c>
      <c r="C872">
        <v>0</v>
      </c>
      <c r="D872">
        <v>3</v>
      </c>
      <c r="E872">
        <v>15</v>
      </c>
      <c r="F872">
        <v>199</v>
      </c>
      <c r="G872">
        <v>217</v>
      </c>
      <c r="H872">
        <v>15</v>
      </c>
      <c r="I872">
        <v>3</v>
      </c>
      <c r="J872">
        <v>0.36059268083810198</v>
      </c>
      <c r="L872">
        <v>-3.2264406854337999E-2</v>
      </c>
      <c r="M872">
        <v>1</v>
      </c>
      <c r="O872">
        <v>-3.2264406854337999E-2</v>
      </c>
    </row>
    <row r="873" spans="1:15" hidden="1" x14ac:dyDescent="0.3">
      <c r="A873" t="s">
        <v>38</v>
      </c>
      <c r="B873" t="s">
        <v>266</v>
      </c>
      <c r="C873">
        <v>0</v>
      </c>
      <c r="D873">
        <v>6</v>
      </c>
      <c r="E873">
        <v>15</v>
      </c>
      <c r="F873">
        <v>196</v>
      </c>
      <c r="G873">
        <v>217</v>
      </c>
      <c r="H873">
        <v>15</v>
      </c>
      <c r="I873">
        <v>6</v>
      </c>
      <c r="J873">
        <v>0.46871439086703198</v>
      </c>
      <c r="L873">
        <v>-4.5951991971399299E-2</v>
      </c>
      <c r="M873">
        <v>1</v>
      </c>
      <c r="O873">
        <v>-4.5951991971399299E-2</v>
      </c>
    </row>
    <row r="874" spans="1:15" hidden="1" x14ac:dyDescent="0.3">
      <c r="A874" t="s">
        <v>38</v>
      </c>
      <c r="B874" t="s">
        <v>272</v>
      </c>
      <c r="C874">
        <v>0</v>
      </c>
      <c r="D874">
        <v>5</v>
      </c>
      <c r="E874">
        <v>15</v>
      </c>
      <c r="F874">
        <v>197</v>
      </c>
      <c r="G874">
        <v>217</v>
      </c>
      <c r="H874">
        <v>15</v>
      </c>
      <c r="I874">
        <v>5</v>
      </c>
      <c r="J874">
        <v>0.43861608620107101</v>
      </c>
      <c r="L874">
        <v>-4.1849186141681302E-2</v>
      </c>
      <c r="M874">
        <v>1</v>
      </c>
      <c r="O874">
        <v>-4.1849186141681302E-2</v>
      </c>
    </row>
    <row r="875" spans="1:15" hidden="1" x14ac:dyDescent="0.3">
      <c r="A875" t="s">
        <v>38</v>
      </c>
      <c r="B875" t="s">
        <v>310</v>
      </c>
      <c r="C875">
        <v>0</v>
      </c>
      <c r="D875">
        <v>4</v>
      </c>
      <c r="E875">
        <v>15</v>
      </c>
      <c r="F875">
        <v>198</v>
      </c>
      <c r="G875">
        <v>217</v>
      </c>
      <c r="H875">
        <v>15</v>
      </c>
      <c r="I875">
        <v>4</v>
      </c>
      <c r="J875">
        <v>0.403333996038028</v>
      </c>
      <c r="L875">
        <v>-3.7343080319489803E-2</v>
      </c>
      <c r="M875">
        <v>1</v>
      </c>
      <c r="O875">
        <v>-3.7343080319489803E-2</v>
      </c>
    </row>
    <row r="876" spans="1:15" hidden="1" x14ac:dyDescent="0.3">
      <c r="A876" t="s">
        <v>38</v>
      </c>
      <c r="B876" t="s">
        <v>9</v>
      </c>
      <c r="C876">
        <v>0</v>
      </c>
      <c r="D876">
        <v>10</v>
      </c>
      <c r="E876">
        <v>15</v>
      </c>
      <c r="F876">
        <v>192</v>
      </c>
      <c r="G876">
        <v>217</v>
      </c>
      <c r="H876">
        <v>15</v>
      </c>
      <c r="I876">
        <v>10</v>
      </c>
      <c r="J876">
        <v>0.55802262275932601</v>
      </c>
      <c r="L876">
        <v>-5.9894200497748101E-2</v>
      </c>
      <c r="M876">
        <v>1</v>
      </c>
      <c r="O876">
        <v>-5.9894200497748101E-2</v>
      </c>
    </row>
    <row r="877" spans="1:15" hidden="1" x14ac:dyDescent="0.3">
      <c r="A877" t="s">
        <v>38</v>
      </c>
      <c r="B877" t="s">
        <v>362</v>
      </c>
      <c r="C877">
        <v>0</v>
      </c>
      <c r="D877">
        <v>1</v>
      </c>
      <c r="E877">
        <v>15</v>
      </c>
      <c r="F877">
        <v>201</v>
      </c>
      <c r="G877">
        <v>217</v>
      </c>
      <c r="H877">
        <v>15</v>
      </c>
      <c r="I877">
        <v>1</v>
      </c>
      <c r="J877">
        <v>0.22755841388363099</v>
      </c>
      <c r="L877">
        <v>-1.8541423312082701E-2</v>
      </c>
      <c r="M877">
        <v>1</v>
      </c>
      <c r="O877">
        <v>-1.8541423312082701E-2</v>
      </c>
    </row>
    <row r="878" spans="1:15" hidden="1" x14ac:dyDescent="0.3">
      <c r="A878" t="s">
        <v>38</v>
      </c>
      <c r="B878" t="s">
        <v>354</v>
      </c>
      <c r="C878">
        <v>0</v>
      </c>
      <c r="D878">
        <v>1</v>
      </c>
      <c r="E878">
        <v>15</v>
      </c>
      <c r="F878">
        <v>201</v>
      </c>
      <c r="G878">
        <v>217</v>
      </c>
      <c r="H878">
        <v>15</v>
      </c>
      <c r="I878">
        <v>1</v>
      </c>
      <c r="J878">
        <v>0.22755841388363099</v>
      </c>
      <c r="L878">
        <v>-1.8541423312082701E-2</v>
      </c>
      <c r="M878">
        <v>1</v>
      </c>
      <c r="O878">
        <v>-1.8541423312082701E-2</v>
      </c>
    </row>
    <row r="879" spans="1:15" hidden="1" x14ac:dyDescent="0.3">
      <c r="A879" t="s">
        <v>38</v>
      </c>
      <c r="B879" t="s">
        <v>353</v>
      </c>
      <c r="C879">
        <v>0</v>
      </c>
      <c r="D879">
        <v>1</v>
      </c>
      <c r="E879">
        <v>15</v>
      </c>
      <c r="F879">
        <v>201</v>
      </c>
      <c r="G879">
        <v>217</v>
      </c>
      <c r="H879">
        <v>15</v>
      </c>
      <c r="I879">
        <v>1</v>
      </c>
      <c r="J879">
        <v>0.22755841388363099</v>
      </c>
      <c r="L879">
        <v>-1.8541423312082701E-2</v>
      </c>
      <c r="M879">
        <v>1</v>
      </c>
      <c r="O879">
        <v>-1.8541423312082701E-2</v>
      </c>
    </row>
    <row r="880" spans="1:15" hidden="1" x14ac:dyDescent="0.3">
      <c r="A880" t="s">
        <v>38</v>
      </c>
      <c r="B880" t="s">
        <v>363</v>
      </c>
      <c r="C880">
        <v>0</v>
      </c>
      <c r="D880">
        <v>1</v>
      </c>
      <c r="E880">
        <v>15</v>
      </c>
      <c r="F880">
        <v>201</v>
      </c>
      <c r="G880">
        <v>217</v>
      </c>
      <c r="H880">
        <v>15</v>
      </c>
      <c r="I880">
        <v>1</v>
      </c>
      <c r="J880">
        <v>0.22755841388363099</v>
      </c>
      <c r="L880">
        <v>-1.8541423312082701E-2</v>
      </c>
      <c r="M880">
        <v>1</v>
      </c>
      <c r="O880">
        <v>-1.8541423312082701E-2</v>
      </c>
    </row>
    <row r="881" spans="1:15" hidden="1" x14ac:dyDescent="0.3">
      <c r="A881" t="s">
        <v>38</v>
      </c>
      <c r="B881" t="s">
        <v>305</v>
      </c>
      <c r="C881">
        <v>0</v>
      </c>
      <c r="D881">
        <v>1</v>
      </c>
      <c r="E881">
        <v>15</v>
      </c>
      <c r="F881">
        <v>201</v>
      </c>
      <c r="G881">
        <v>217</v>
      </c>
      <c r="H881">
        <v>15</v>
      </c>
      <c r="I881">
        <v>1</v>
      </c>
      <c r="J881">
        <v>0.22755841388363099</v>
      </c>
      <c r="L881">
        <v>-1.8541423312082701E-2</v>
      </c>
      <c r="M881">
        <v>1</v>
      </c>
      <c r="O881">
        <v>-1.8541423312082701E-2</v>
      </c>
    </row>
    <row r="882" spans="1:15" hidden="1" x14ac:dyDescent="0.3">
      <c r="A882" t="s">
        <v>38</v>
      </c>
      <c r="B882" t="s">
        <v>339</v>
      </c>
      <c r="C882">
        <v>0</v>
      </c>
      <c r="D882">
        <v>7</v>
      </c>
      <c r="E882">
        <v>15</v>
      </c>
      <c r="F882">
        <v>195</v>
      </c>
      <c r="G882">
        <v>217</v>
      </c>
      <c r="H882">
        <v>15</v>
      </c>
      <c r="I882">
        <v>7</v>
      </c>
      <c r="J882">
        <v>0.494966265558689</v>
      </c>
      <c r="L882">
        <v>-4.9751859510499402E-2</v>
      </c>
      <c r="M882">
        <v>1</v>
      </c>
      <c r="O882">
        <v>-4.9751859510499402E-2</v>
      </c>
    </row>
    <row r="883" spans="1:15" hidden="1" x14ac:dyDescent="0.3">
      <c r="A883" t="s">
        <v>38</v>
      </c>
      <c r="B883" t="s">
        <v>248</v>
      </c>
      <c r="C883">
        <v>0</v>
      </c>
      <c r="D883">
        <v>6</v>
      </c>
      <c r="E883">
        <v>15</v>
      </c>
      <c r="F883">
        <v>196</v>
      </c>
      <c r="G883">
        <v>217</v>
      </c>
      <c r="H883">
        <v>15</v>
      </c>
      <c r="I883">
        <v>6</v>
      </c>
      <c r="J883">
        <v>0.46871439086703198</v>
      </c>
      <c r="L883">
        <v>-4.5951991971399299E-2</v>
      </c>
      <c r="M883">
        <v>1</v>
      </c>
      <c r="O883">
        <v>-4.5951991971399299E-2</v>
      </c>
    </row>
    <row r="884" spans="1:15" hidden="1" x14ac:dyDescent="0.3">
      <c r="A884" t="s">
        <v>38</v>
      </c>
      <c r="B884" t="s">
        <v>342</v>
      </c>
      <c r="C884">
        <v>0</v>
      </c>
      <c r="D884">
        <v>1</v>
      </c>
      <c r="E884">
        <v>15</v>
      </c>
      <c r="F884">
        <v>201</v>
      </c>
      <c r="G884">
        <v>217</v>
      </c>
      <c r="H884">
        <v>15</v>
      </c>
      <c r="I884">
        <v>1</v>
      </c>
      <c r="J884">
        <v>0.22755841388363099</v>
      </c>
      <c r="L884">
        <v>-1.8541423312082701E-2</v>
      </c>
      <c r="M884">
        <v>1</v>
      </c>
      <c r="O884">
        <v>-1.8541423312082701E-2</v>
      </c>
    </row>
    <row r="885" spans="1:15" hidden="1" x14ac:dyDescent="0.3">
      <c r="A885" t="s">
        <v>38</v>
      </c>
      <c r="B885" t="s">
        <v>241</v>
      </c>
      <c r="C885">
        <v>0</v>
      </c>
      <c r="D885">
        <v>10</v>
      </c>
      <c r="E885">
        <v>15</v>
      </c>
      <c r="F885">
        <v>192</v>
      </c>
      <c r="G885">
        <v>217</v>
      </c>
      <c r="H885">
        <v>15</v>
      </c>
      <c r="I885">
        <v>10</v>
      </c>
      <c r="J885">
        <v>0.55802262275932601</v>
      </c>
      <c r="L885">
        <v>-5.9894200497748101E-2</v>
      </c>
      <c r="M885">
        <v>1</v>
      </c>
      <c r="O885">
        <v>-5.9894200497748101E-2</v>
      </c>
    </row>
    <row r="886" spans="1:15" hidden="1" x14ac:dyDescent="0.3">
      <c r="A886" t="s">
        <v>38</v>
      </c>
      <c r="B886" t="s">
        <v>334</v>
      </c>
      <c r="C886">
        <v>0</v>
      </c>
      <c r="D886">
        <v>3</v>
      </c>
      <c r="E886">
        <v>15</v>
      </c>
      <c r="F886">
        <v>199</v>
      </c>
      <c r="G886">
        <v>217</v>
      </c>
      <c r="H886">
        <v>15</v>
      </c>
      <c r="I886">
        <v>3</v>
      </c>
      <c r="J886">
        <v>0.36059268083810198</v>
      </c>
      <c r="L886">
        <v>-3.2264406854337999E-2</v>
      </c>
      <c r="M886">
        <v>1</v>
      </c>
      <c r="O886">
        <v>-3.2264406854337999E-2</v>
      </c>
    </row>
    <row r="887" spans="1:15" hidden="1" x14ac:dyDescent="0.3">
      <c r="A887" t="s">
        <v>38</v>
      </c>
      <c r="B887" t="s">
        <v>300</v>
      </c>
      <c r="C887">
        <v>0</v>
      </c>
      <c r="D887">
        <v>1</v>
      </c>
      <c r="E887">
        <v>15</v>
      </c>
      <c r="F887">
        <v>201</v>
      </c>
      <c r="G887">
        <v>217</v>
      </c>
      <c r="H887">
        <v>15</v>
      </c>
      <c r="I887">
        <v>1</v>
      </c>
      <c r="J887">
        <v>0.22755841388363099</v>
      </c>
      <c r="L887">
        <v>-1.8541423312082701E-2</v>
      </c>
      <c r="M887">
        <v>1</v>
      </c>
      <c r="O887">
        <v>-1.8541423312082701E-2</v>
      </c>
    </row>
    <row r="888" spans="1:15" hidden="1" x14ac:dyDescent="0.3">
      <c r="A888" t="s">
        <v>38</v>
      </c>
      <c r="B888" t="s">
        <v>265</v>
      </c>
      <c r="C888">
        <v>0</v>
      </c>
      <c r="D888">
        <v>11</v>
      </c>
      <c r="E888">
        <v>15</v>
      </c>
      <c r="F888">
        <v>191</v>
      </c>
      <c r="G888">
        <v>217</v>
      </c>
      <c r="H888">
        <v>15</v>
      </c>
      <c r="I888">
        <v>11</v>
      </c>
      <c r="J888">
        <v>0.57529006059339405</v>
      </c>
      <c r="L888">
        <v>-6.2969852671554402E-2</v>
      </c>
      <c r="M888">
        <v>1</v>
      </c>
      <c r="O888">
        <v>-6.2969852671554402E-2</v>
      </c>
    </row>
    <row r="889" spans="1:15" hidden="1" x14ac:dyDescent="0.3">
      <c r="A889" t="s">
        <v>38</v>
      </c>
      <c r="B889" t="s">
        <v>271</v>
      </c>
      <c r="C889">
        <v>0</v>
      </c>
      <c r="D889">
        <v>5</v>
      </c>
      <c r="E889">
        <v>15</v>
      </c>
      <c r="F889">
        <v>197</v>
      </c>
      <c r="G889">
        <v>217</v>
      </c>
      <c r="H889">
        <v>15</v>
      </c>
      <c r="I889">
        <v>5</v>
      </c>
      <c r="J889">
        <v>0.43861608620107101</v>
      </c>
      <c r="L889">
        <v>-4.1849186141681302E-2</v>
      </c>
      <c r="M889">
        <v>1</v>
      </c>
      <c r="O889">
        <v>-4.1849186141681302E-2</v>
      </c>
    </row>
    <row r="890" spans="1:15" hidden="1" x14ac:dyDescent="0.3">
      <c r="A890" t="s">
        <v>38</v>
      </c>
      <c r="B890" t="s">
        <v>255</v>
      </c>
      <c r="C890">
        <v>0</v>
      </c>
      <c r="D890">
        <v>2</v>
      </c>
      <c r="E890">
        <v>15</v>
      </c>
      <c r="F890">
        <v>200</v>
      </c>
      <c r="G890">
        <v>217</v>
      </c>
      <c r="H890">
        <v>15</v>
      </c>
      <c r="I890">
        <v>2</v>
      </c>
      <c r="J890">
        <v>0.30590634059779898</v>
      </c>
      <c r="L890">
        <v>-2.62824418784426E-2</v>
      </c>
      <c r="M890">
        <v>1</v>
      </c>
      <c r="O890">
        <v>-2.62824418784426E-2</v>
      </c>
    </row>
    <row r="891" spans="1:15" hidden="1" x14ac:dyDescent="0.3">
      <c r="A891" t="s">
        <v>38</v>
      </c>
      <c r="B891" t="s">
        <v>249</v>
      </c>
      <c r="C891">
        <v>0</v>
      </c>
      <c r="D891">
        <v>4</v>
      </c>
      <c r="E891">
        <v>15</v>
      </c>
      <c r="F891">
        <v>198</v>
      </c>
      <c r="G891">
        <v>217</v>
      </c>
      <c r="H891">
        <v>15</v>
      </c>
      <c r="I891">
        <v>4</v>
      </c>
      <c r="J891">
        <v>0.403333996038028</v>
      </c>
      <c r="L891">
        <v>-3.7343080319489803E-2</v>
      </c>
      <c r="M891">
        <v>1</v>
      </c>
      <c r="O891">
        <v>-3.7343080319489803E-2</v>
      </c>
    </row>
    <row r="892" spans="1:15" hidden="1" x14ac:dyDescent="0.3">
      <c r="A892" t="s">
        <v>38</v>
      </c>
      <c r="B892" t="s">
        <v>308</v>
      </c>
      <c r="C892">
        <v>0</v>
      </c>
      <c r="D892">
        <v>1</v>
      </c>
      <c r="E892">
        <v>15</v>
      </c>
      <c r="F892">
        <v>201</v>
      </c>
      <c r="G892">
        <v>217</v>
      </c>
      <c r="H892">
        <v>15</v>
      </c>
      <c r="I892">
        <v>1</v>
      </c>
      <c r="J892">
        <v>0.22755841388363099</v>
      </c>
      <c r="L892">
        <v>-1.8541423312082701E-2</v>
      </c>
      <c r="M892">
        <v>1</v>
      </c>
      <c r="O892">
        <v>-1.8541423312082701E-2</v>
      </c>
    </row>
    <row r="893" spans="1:15" hidden="1" x14ac:dyDescent="0.3">
      <c r="A893" t="s">
        <v>38</v>
      </c>
      <c r="B893" t="s">
        <v>319</v>
      </c>
      <c r="C893">
        <v>0</v>
      </c>
      <c r="D893">
        <v>1</v>
      </c>
      <c r="E893">
        <v>15</v>
      </c>
      <c r="F893">
        <v>201</v>
      </c>
      <c r="G893">
        <v>217</v>
      </c>
      <c r="H893">
        <v>15</v>
      </c>
      <c r="I893">
        <v>1</v>
      </c>
      <c r="J893">
        <v>0.22755841388363099</v>
      </c>
      <c r="L893">
        <v>-1.8541423312082701E-2</v>
      </c>
      <c r="M893">
        <v>1</v>
      </c>
      <c r="O893">
        <v>-1.8541423312082701E-2</v>
      </c>
    </row>
    <row r="894" spans="1:15" hidden="1" x14ac:dyDescent="0.3">
      <c r="A894" t="s">
        <v>38</v>
      </c>
      <c r="B894" t="s">
        <v>245</v>
      </c>
      <c r="C894">
        <v>0</v>
      </c>
      <c r="D894">
        <v>4</v>
      </c>
      <c r="E894">
        <v>15</v>
      </c>
      <c r="F894">
        <v>198</v>
      </c>
      <c r="G894">
        <v>217</v>
      </c>
      <c r="H894">
        <v>15</v>
      </c>
      <c r="I894">
        <v>4</v>
      </c>
      <c r="J894">
        <v>0.403333996038028</v>
      </c>
      <c r="L894">
        <v>-3.7343080319489803E-2</v>
      </c>
      <c r="M894">
        <v>1</v>
      </c>
      <c r="O894">
        <v>-3.7343080319489803E-2</v>
      </c>
    </row>
    <row r="895" spans="1:15" hidden="1" x14ac:dyDescent="0.3">
      <c r="A895" t="s">
        <v>38</v>
      </c>
      <c r="B895" t="s">
        <v>240</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38</v>
      </c>
      <c r="B896" t="s">
        <v>343</v>
      </c>
      <c r="C896">
        <v>0</v>
      </c>
      <c r="D896">
        <v>1</v>
      </c>
      <c r="E896">
        <v>15</v>
      </c>
      <c r="F896">
        <v>201</v>
      </c>
      <c r="G896">
        <v>217</v>
      </c>
      <c r="H896">
        <v>15</v>
      </c>
      <c r="I896">
        <v>1</v>
      </c>
      <c r="J896">
        <v>0.22755841388363099</v>
      </c>
      <c r="L896">
        <v>-1.8541423312082701E-2</v>
      </c>
      <c r="M896">
        <v>1</v>
      </c>
      <c r="O896">
        <v>-1.8541423312082701E-2</v>
      </c>
    </row>
    <row r="897" spans="1:15" hidden="1" x14ac:dyDescent="0.3">
      <c r="A897" t="s">
        <v>38</v>
      </c>
      <c r="B897" t="s">
        <v>258</v>
      </c>
      <c r="C897">
        <v>0</v>
      </c>
      <c r="D897">
        <v>2</v>
      </c>
      <c r="E897">
        <v>15</v>
      </c>
      <c r="F897">
        <v>200</v>
      </c>
      <c r="G897">
        <v>217</v>
      </c>
      <c r="H897">
        <v>15</v>
      </c>
      <c r="I897">
        <v>2</v>
      </c>
      <c r="J897">
        <v>0.30590634059779898</v>
      </c>
      <c r="L897">
        <v>-2.62824418784426E-2</v>
      </c>
      <c r="M897">
        <v>1</v>
      </c>
      <c r="O897">
        <v>-2.62824418784426E-2</v>
      </c>
    </row>
    <row r="898" spans="1:15" hidden="1" x14ac:dyDescent="0.3">
      <c r="A898" t="s">
        <v>38</v>
      </c>
      <c r="B898" t="s">
        <v>344</v>
      </c>
      <c r="C898">
        <v>0</v>
      </c>
      <c r="D898">
        <v>1</v>
      </c>
      <c r="E898">
        <v>15</v>
      </c>
      <c r="F898">
        <v>201</v>
      </c>
      <c r="G898">
        <v>217</v>
      </c>
      <c r="H898">
        <v>15</v>
      </c>
      <c r="I898">
        <v>1</v>
      </c>
      <c r="J898">
        <v>0.22755841388363099</v>
      </c>
      <c r="L898">
        <v>-1.8541423312082701E-2</v>
      </c>
      <c r="M898">
        <v>1</v>
      </c>
      <c r="O898">
        <v>-1.8541423312082701E-2</v>
      </c>
    </row>
    <row r="899" spans="1:15" hidden="1" x14ac:dyDescent="0.3">
      <c r="A899" t="s">
        <v>38</v>
      </c>
      <c r="B899" t="s">
        <v>276</v>
      </c>
      <c r="C899">
        <v>0</v>
      </c>
      <c r="D899">
        <v>2</v>
      </c>
      <c r="E899">
        <v>15</v>
      </c>
      <c r="F899">
        <v>200</v>
      </c>
      <c r="G899">
        <v>217</v>
      </c>
      <c r="H899">
        <v>15</v>
      </c>
      <c r="I899">
        <v>2</v>
      </c>
      <c r="J899">
        <v>0.30590634059779898</v>
      </c>
      <c r="L899">
        <v>-2.62824418784426E-2</v>
      </c>
      <c r="M899">
        <v>1</v>
      </c>
      <c r="O899">
        <v>-2.62824418784426E-2</v>
      </c>
    </row>
    <row r="900" spans="1:15" hidden="1" x14ac:dyDescent="0.3">
      <c r="A900" t="s">
        <v>38</v>
      </c>
      <c r="B900" t="s">
        <v>333</v>
      </c>
      <c r="C900">
        <v>0</v>
      </c>
      <c r="D900">
        <v>3</v>
      </c>
      <c r="E900">
        <v>15</v>
      </c>
      <c r="F900">
        <v>199</v>
      </c>
      <c r="G900">
        <v>217</v>
      </c>
      <c r="H900">
        <v>15</v>
      </c>
      <c r="I900">
        <v>3</v>
      </c>
      <c r="J900">
        <v>0.36059268083810198</v>
      </c>
      <c r="L900">
        <v>-3.2264406854337999E-2</v>
      </c>
      <c r="M900">
        <v>1</v>
      </c>
      <c r="O900">
        <v>-3.2264406854337999E-2</v>
      </c>
    </row>
    <row r="901" spans="1:15" hidden="1" x14ac:dyDescent="0.3">
      <c r="A901" t="s">
        <v>38</v>
      </c>
      <c r="B901" t="s">
        <v>263</v>
      </c>
      <c r="C901">
        <v>0</v>
      </c>
      <c r="D901">
        <v>3</v>
      </c>
      <c r="E901">
        <v>15</v>
      </c>
      <c r="F901">
        <v>199</v>
      </c>
      <c r="G901">
        <v>217</v>
      </c>
      <c r="H901">
        <v>15</v>
      </c>
      <c r="I901">
        <v>3</v>
      </c>
      <c r="J901">
        <v>0.36059268083810198</v>
      </c>
      <c r="L901">
        <v>-3.2264406854337999E-2</v>
      </c>
      <c r="M901">
        <v>1</v>
      </c>
      <c r="O901">
        <v>-3.2264406854337999E-2</v>
      </c>
    </row>
    <row r="902" spans="1:15" hidden="1" x14ac:dyDescent="0.3">
      <c r="A902" t="s">
        <v>38</v>
      </c>
      <c r="B902" t="s">
        <v>254</v>
      </c>
      <c r="C902">
        <v>0</v>
      </c>
      <c r="D902">
        <v>2</v>
      </c>
      <c r="E902">
        <v>15</v>
      </c>
      <c r="F902">
        <v>200</v>
      </c>
      <c r="G902">
        <v>217</v>
      </c>
      <c r="H902">
        <v>15</v>
      </c>
      <c r="I902">
        <v>2</v>
      </c>
      <c r="J902">
        <v>0.30590634059779898</v>
      </c>
      <c r="L902">
        <v>-2.62824418784426E-2</v>
      </c>
      <c r="M902">
        <v>1</v>
      </c>
      <c r="O902">
        <v>-2.62824418784426E-2</v>
      </c>
    </row>
    <row r="903" spans="1:15" hidden="1" x14ac:dyDescent="0.3">
      <c r="A903" t="s">
        <v>38</v>
      </c>
      <c r="B903" t="s">
        <v>320</v>
      </c>
      <c r="C903">
        <v>0</v>
      </c>
      <c r="D903">
        <v>1</v>
      </c>
      <c r="E903">
        <v>15</v>
      </c>
      <c r="F903">
        <v>201</v>
      </c>
      <c r="G903">
        <v>217</v>
      </c>
      <c r="H903">
        <v>15</v>
      </c>
      <c r="I903">
        <v>1</v>
      </c>
      <c r="J903">
        <v>0.22755841388363099</v>
      </c>
      <c r="L903">
        <v>-1.8541423312082701E-2</v>
      </c>
      <c r="M903">
        <v>1</v>
      </c>
      <c r="O903">
        <v>-1.8541423312082701E-2</v>
      </c>
    </row>
    <row r="904" spans="1:15" hidden="1" x14ac:dyDescent="0.3">
      <c r="A904" t="s">
        <v>38</v>
      </c>
      <c r="B904" t="s">
        <v>275</v>
      </c>
      <c r="C904">
        <v>0</v>
      </c>
      <c r="D904">
        <v>11</v>
      </c>
      <c r="E904">
        <v>15</v>
      </c>
      <c r="F904">
        <v>191</v>
      </c>
      <c r="G904">
        <v>217</v>
      </c>
      <c r="H904">
        <v>15</v>
      </c>
      <c r="I904">
        <v>11</v>
      </c>
      <c r="J904">
        <v>0.57529006059339405</v>
      </c>
      <c r="L904">
        <v>-6.2969852671554402E-2</v>
      </c>
      <c r="M904">
        <v>1</v>
      </c>
      <c r="O904">
        <v>-6.2969852671554402E-2</v>
      </c>
    </row>
    <row r="905" spans="1:15" hidden="1" x14ac:dyDescent="0.3">
      <c r="A905" t="s">
        <v>38</v>
      </c>
      <c r="B905" t="s">
        <v>221</v>
      </c>
      <c r="C905">
        <v>0</v>
      </c>
      <c r="D905">
        <v>5</v>
      </c>
      <c r="E905">
        <v>15</v>
      </c>
      <c r="F905">
        <v>197</v>
      </c>
      <c r="G905">
        <v>217</v>
      </c>
      <c r="H905">
        <v>15</v>
      </c>
      <c r="I905">
        <v>5</v>
      </c>
      <c r="J905">
        <v>0.43861608620107101</v>
      </c>
      <c r="L905">
        <v>-4.1849186141681302E-2</v>
      </c>
      <c r="M905">
        <v>1</v>
      </c>
      <c r="O905">
        <v>-4.1849186141681302E-2</v>
      </c>
    </row>
    <row r="906" spans="1:15" hidden="1" x14ac:dyDescent="0.3">
      <c r="A906" t="s">
        <v>38</v>
      </c>
      <c r="B906" t="s">
        <v>322</v>
      </c>
      <c r="C906">
        <v>0</v>
      </c>
      <c r="D906">
        <v>2</v>
      </c>
      <c r="E906">
        <v>15</v>
      </c>
      <c r="F906">
        <v>200</v>
      </c>
      <c r="G906">
        <v>217</v>
      </c>
      <c r="H906">
        <v>15</v>
      </c>
      <c r="I906">
        <v>2</v>
      </c>
      <c r="J906">
        <v>0.30590634059779898</v>
      </c>
      <c r="L906">
        <v>-2.62824418784426E-2</v>
      </c>
      <c r="M906">
        <v>1</v>
      </c>
      <c r="O906">
        <v>-2.62824418784426E-2</v>
      </c>
    </row>
    <row r="907" spans="1:15" hidden="1" x14ac:dyDescent="0.3">
      <c r="A907" t="s">
        <v>38</v>
      </c>
      <c r="B907" t="s">
        <v>303</v>
      </c>
      <c r="C907">
        <v>0</v>
      </c>
      <c r="D907">
        <v>1</v>
      </c>
      <c r="E907">
        <v>15</v>
      </c>
      <c r="F907">
        <v>201</v>
      </c>
      <c r="G907">
        <v>217</v>
      </c>
      <c r="H907">
        <v>15</v>
      </c>
      <c r="I907">
        <v>1</v>
      </c>
      <c r="J907">
        <v>0.22755841388363099</v>
      </c>
      <c r="L907">
        <v>-1.8541423312082701E-2</v>
      </c>
      <c r="M907">
        <v>1</v>
      </c>
      <c r="O907">
        <v>-1.8541423312082701E-2</v>
      </c>
    </row>
    <row r="908" spans="1:15" hidden="1" x14ac:dyDescent="0.3">
      <c r="A908" t="s">
        <v>38</v>
      </c>
      <c r="B908" t="s">
        <v>302</v>
      </c>
      <c r="C908">
        <v>0</v>
      </c>
      <c r="D908">
        <v>1</v>
      </c>
      <c r="E908">
        <v>15</v>
      </c>
      <c r="F908">
        <v>201</v>
      </c>
      <c r="G908">
        <v>217</v>
      </c>
      <c r="H908">
        <v>15</v>
      </c>
      <c r="I908">
        <v>1</v>
      </c>
      <c r="J908">
        <v>0.22755841388363099</v>
      </c>
      <c r="L908">
        <v>-1.8541423312082701E-2</v>
      </c>
      <c r="M908">
        <v>1</v>
      </c>
      <c r="O908">
        <v>-1.8541423312082701E-2</v>
      </c>
    </row>
    <row r="909" spans="1:15" hidden="1" x14ac:dyDescent="0.3">
      <c r="A909" t="s">
        <v>38</v>
      </c>
      <c r="B909" t="s">
        <v>147</v>
      </c>
      <c r="C909">
        <v>0</v>
      </c>
      <c r="D909">
        <v>3</v>
      </c>
      <c r="E909">
        <v>15</v>
      </c>
      <c r="F909">
        <v>199</v>
      </c>
      <c r="G909">
        <v>217</v>
      </c>
      <c r="H909">
        <v>15</v>
      </c>
      <c r="I909">
        <v>3</v>
      </c>
      <c r="J909">
        <v>0.36059268083810198</v>
      </c>
      <c r="L909">
        <v>-3.2264406854337999E-2</v>
      </c>
      <c r="M909">
        <v>1</v>
      </c>
      <c r="O909">
        <v>-3.2264406854337999E-2</v>
      </c>
    </row>
    <row r="910" spans="1:15" hidden="1" x14ac:dyDescent="0.3">
      <c r="A910" t="s">
        <v>38</v>
      </c>
      <c r="B910" t="s">
        <v>284</v>
      </c>
      <c r="C910">
        <v>0</v>
      </c>
      <c r="D910">
        <v>1</v>
      </c>
      <c r="E910">
        <v>15</v>
      </c>
      <c r="F910">
        <v>201</v>
      </c>
      <c r="G910">
        <v>217</v>
      </c>
      <c r="H910">
        <v>15</v>
      </c>
      <c r="I910">
        <v>1</v>
      </c>
      <c r="J910">
        <v>0.22755841388363099</v>
      </c>
      <c r="L910">
        <v>-1.8541423312082701E-2</v>
      </c>
      <c r="M910">
        <v>1</v>
      </c>
      <c r="O910">
        <v>-1.8541423312082701E-2</v>
      </c>
    </row>
    <row r="911" spans="1:15" hidden="1" x14ac:dyDescent="0.3">
      <c r="A911" t="s">
        <v>38</v>
      </c>
      <c r="B911" t="s">
        <v>299</v>
      </c>
      <c r="C911">
        <v>0</v>
      </c>
      <c r="D911">
        <v>8</v>
      </c>
      <c r="E911">
        <v>15</v>
      </c>
      <c r="F911">
        <v>194</v>
      </c>
      <c r="G911">
        <v>217</v>
      </c>
      <c r="H911">
        <v>15</v>
      </c>
      <c r="I911">
        <v>8</v>
      </c>
      <c r="J911">
        <v>0.51823399197766196</v>
      </c>
      <c r="L911">
        <v>-5.33140647682026E-2</v>
      </c>
      <c r="M911">
        <v>1</v>
      </c>
      <c r="O911">
        <v>-5.33140647682026E-2</v>
      </c>
    </row>
    <row r="912" spans="1:15" hidden="1" x14ac:dyDescent="0.3">
      <c r="A912" t="s">
        <v>38</v>
      </c>
      <c r="B912" t="s">
        <v>301</v>
      </c>
      <c r="C912">
        <v>0</v>
      </c>
      <c r="D912">
        <v>1</v>
      </c>
      <c r="E912">
        <v>15</v>
      </c>
      <c r="F912">
        <v>201</v>
      </c>
      <c r="G912">
        <v>217</v>
      </c>
      <c r="H912">
        <v>15</v>
      </c>
      <c r="I912">
        <v>1</v>
      </c>
      <c r="J912">
        <v>0.22755841388363099</v>
      </c>
      <c r="L912">
        <v>-1.8541423312082701E-2</v>
      </c>
      <c r="M912">
        <v>1</v>
      </c>
      <c r="O912">
        <v>-1.8541423312082701E-2</v>
      </c>
    </row>
    <row r="913" spans="1:15" hidden="1" x14ac:dyDescent="0.3">
      <c r="A913" t="s">
        <v>38</v>
      </c>
      <c r="B913" t="s">
        <v>268</v>
      </c>
      <c r="C913">
        <v>0</v>
      </c>
      <c r="D913">
        <v>10</v>
      </c>
      <c r="E913">
        <v>15</v>
      </c>
      <c r="F913">
        <v>192</v>
      </c>
      <c r="G913">
        <v>217</v>
      </c>
      <c r="H913">
        <v>15</v>
      </c>
      <c r="I913">
        <v>10</v>
      </c>
      <c r="J913">
        <v>0.55802262275932601</v>
      </c>
      <c r="L913">
        <v>-5.9894200497748101E-2</v>
      </c>
      <c r="M913">
        <v>1</v>
      </c>
      <c r="O913">
        <v>-5.9894200497748101E-2</v>
      </c>
    </row>
    <row r="914" spans="1:15" hidden="1" x14ac:dyDescent="0.3">
      <c r="A914" t="s">
        <v>38</v>
      </c>
      <c r="B914" t="s">
        <v>290</v>
      </c>
      <c r="C914">
        <v>0</v>
      </c>
      <c r="D914">
        <v>1</v>
      </c>
      <c r="E914">
        <v>15</v>
      </c>
      <c r="F914">
        <v>201</v>
      </c>
      <c r="G914">
        <v>217</v>
      </c>
      <c r="H914">
        <v>15</v>
      </c>
      <c r="I914">
        <v>1</v>
      </c>
      <c r="J914">
        <v>0.22755841388363099</v>
      </c>
      <c r="L914">
        <v>-1.8541423312082701E-2</v>
      </c>
      <c r="M914">
        <v>1</v>
      </c>
      <c r="O914">
        <v>-1.8541423312082701E-2</v>
      </c>
    </row>
    <row r="915" spans="1:15" hidden="1" x14ac:dyDescent="0.3">
      <c r="A915" t="s">
        <v>38</v>
      </c>
      <c r="B915" t="s">
        <v>351</v>
      </c>
      <c r="C915">
        <v>0</v>
      </c>
      <c r="D915">
        <v>4</v>
      </c>
      <c r="E915">
        <v>15</v>
      </c>
      <c r="F915">
        <v>198</v>
      </c>
      <c r="G915">
        <v>217</v>
      </c>
      <c r="H915">
        <v>15</v>
      </c>
      <c r="I915">
        <v>4</v>
      </c>
      <c r="J915">
        <v>0.403333996038028</v>
      </c>
      <c r="L915">
        <v>-3.7343080319489803E-2</v>
      </c>
      <c r="M915">
        <v>1</v>
      </c>
      <c r="O915">
        <v>-3.7343080319489803E-2</v>
      </c>
    </row>
    <row r="916" spans="1:15" hidden="1" x14ac:dyDescent="0.3">
      <c r="A916" t="s">
        <v>38</v>
      </c>
      <c r="B916" t="s">
        <v>212</v>
      </c>
      <c r="C916">
        <v>0</v>
      </c>
      <c r="D916">
        <v>1</v>
      </c>
      <c r="E916">
        <v>15</v>
      </c>
      <c r="F916">
        <v>201</v>
      </c>
      <c r="G916">
        <v>217</v>
      </c>
      <c r="H916">
        <v>15</v>
      </c>
      <c r="I916">
        <v>1</v>
      </c>
      <c r="J916">
        <v>0.22755841388363099</v>
      </c>
      <c r="L916">
        <v>-1.8541423312082701E-2</v>
      </c>
      <c r="M916">
        <v>1</v>
      </c>
      <c r="O916">
        <v>-1.8541423312082701E-2</v>
      </c>
    </row>
    <row r="917" spans="1:15" hidden="1" x14ac:dyDescent="0.3">
      <c r="A917" t="s">
        <v>38</v>
      </c>
      <c r="B917" t="s">
        <v>250</v>
      </c>
      <c r="C917">
        <v>0</v>
      </c>
      <c r="D917">
        <v>4</v>
      </c>
      <c r="E917">
        <v>15</v>
      </c>
      <c r="F917">
        <v>198</v>
      </c>
      <c r="G917">
        <v>217</v>
      </c>
      <c r="H917">
        <v>15</v>
      </c>
      <c r="I917">
        <v>4</v>
      </c>
      <c r="J917">
        <v>0.403333996038028</v>
      </c>
      <c r="L917">
        <v>-3.7343080319489803E-2</v>
      </c>
      <c r="M917">
        <v>1</v>
      </c>
      <c r="O917">
        <v>-3.7343080319489803E-2</v>
      </c>
    </row>
    <row r="918" spans="1:15" hidden="1" x14ac:dyDescent="0.3">
      <c r="A918" t="s">
        <v>38</v>
      </c>
      <c r="B918" t="s">
        <v>246</v>
      </c>
      <c r="C918">
        <v>0</v>
      </c>
      <c r="D918">
        <v>5</v>
      </c>
      <c r="E918">
        <v>15</v>
      </c>
      <c r="F918">
        <v>197</v>
      </c>
      <c r="G918">
        <v>217</v>
      </c>
      <c r="H918">
        <v>15</v>
      </c>
      <c r="I918">
        <v>5</v>
      </c>
      <c r="J918">
        <v>0.43861608620107101</v>
      </c>
      <c r="L918">
        <v>-4.1849186141681302E-2</v>
      </c>
      <c r="M918">
        <v>1</v>
      </c>
      <c r="O918">
        <v>-4.1849186141681302E-2</v>
      </c>
    </row>
    <row r="919" spans="1:15" hidden="1" x14ac:dyDescent="0.3">
      <c r="A919" t="s">
        <v>38</v>
      </c>
      <c r="B919" t="s">
        <v>347</v>
      </c>
      <c r="C919">
        <v>0</v>
      </c>
      <c r="D919">
        <v>1</v>
      </c>
      <c r="E919">
        <v>15</v>
      </c>
      <c r="F919">
        <v>201</v>
      </c>
      <c r="G919">
        <v>217</v>
      </c>
      <c r="H919">
        <v>15</v>
      </c>
      <c r="I919">
        <v>1</v>
      </c>
      <c r="J919">
        <v>0.22755841388363099</v>
      </c>
      <c r="L919">
        <v>-1.8541423312082701E-2</v>
      </c>
      <c r="M919">
        <v>1</v>
      </c>
      <c r="O919">
        <v>-1.8541423312082701E-2</v>
      </c>
    </row>
    <row r="920" spans="1:15" hidden="1" x14ac:dyDescent="0.3">
      <c r="A920" t="s">
        <v>38</v>
      </c>
      <c r="B920" t="s">
        <v>153</v>
      </c>
      <c r="C920">
        <v>0</v>
      </c>
      <c r="D920">
        <v>2</v>
      </c>
      <c r="E920">
        <v>15</v>
      </c>
      <c r="F920">
        <v>200</v>
      </c>
      <c r="G920">
        <v>217</v>
      </c>
      <c r="H920">
        <v>15</v>
      </c>
      <c r="I920">
        <v>2</v>
      </c>
      <c r="J920">
        <v>0.30590634059779898</v>
      </c>
      <c r="L920">
        <v>-2.62824418784426E-2</v>
      </c>
      <c r="M920">
        <v>1</v>
      </c>
      <c r="O920">
        <v>-2.62824418784426E-2</v>
      </c>
    </row>
    <row r="921" spans="1:15" hidden="1" x14ac:dyDescent="0.3">
      <c r="A921" t="s">
        <v>38</v>
      </c>
      <c r="B921" t="s">
        <v>283</v>
      </c>
      <c r="C921">
        <v>0</v>
      </c>
      <c r="D921">
        <v>1</v>
      </c>
      <c r="E921">
        <v>15</v>
      </c>
      <c r="F921">
        <v>201</v>
      </c>
      <c r="G921">
        <v>217</v>
      </c>
      <c r="H921">
        <v>15</v>
      </c>
      <c r="I921">
        <v>1</v>
      </c>
      <c r="J921">
        <v>0.22755841388363099</v>
      </c>
      <c r="L921">
        <v>-1.8541423312082701E-2</v>
      </c>
      <c r="M921">
        <v>1</v>
      </c>
      <c r="O921">
        <v>-1.8541423312082701E-2</v>
      </c>
    </row>
    <row r="922" spans="1:15" hidden="1" x14ac:dyDescent="0.3">
      <c r="A922" t="s">
        <v>38</v>
      </c>
      <c r="B922" t="s">
        <v>5</v>
      </c>
      <c r="C922">
        <v>0</v>
      </c>
      <c r="D922">
        <v>3</v>
      </c>
      <c r="E922">
        <v>15</v>
      </c>
      <c r="F922">
        <v>199</v>
      </c>
      <c r="G922">
        <v>217</v>
      </c>
      <c r="H922">
        <v>15</v>
      </c>
      <c r="I922">
        <v>3</v>
      </c>
      <c r="J922">
        <v>0.36059268083810198</v>
      </c>
      <c r="L922">
        <v>-3.2264406854337999E-2</v>
      </c>
      <c r="M922">
        <v>1</v>
      </c>
      <c r="O922">
        <v>-3.2264406854337999E-2</v>
      </c>
    </row>
    <row r="923" spans="1:15" hidden="1" x14ac:dyDescent="0.3">
      <c r="A923" t="s">
        <v>38</v>
      </c>
      <c r="B923" t="s">
        <v>220</v>
      </c>
      <c r="C923">
        <v>0</v>
      </c>
      <c r="D923">
        <v>5</v>
      </c>
      <c r="E923">
        <v>15</v>
      </c>
      <c r="F923">
        <v>197</v>
      </c>
      <c r="G923">
        <v>217</v>
      </c>
      <c r="H923">
        <v>15</v>
      </c>
      <c r="I923">
        <v>5</v>
      </c>
      <c r="J923">
        <v>0.43861608620107101</v>
      </c>
      <c r="L923">
        <v>-4.1849186141681302E-2</v>
      </c>
      <c r="M923">
        <v>1</v>
      </c>
      <c r="O923">
        <v>-4.1849186141681302E-2</v>
      </c>
    </row>
    <row r="924" spans="1:15" hidden="1" x14ac:dyDescent="0.3">
      <c r="A924" t="s">
        <v>38</v>
      </c>
      <c r="B924" t="s">
        <v>201</v>
      </c>
      <c r="C924">
        <v>0</v>
      </c>
      <c r="D924">
        <v>4</v>
      </c>
      <c r="E924">
        <v>15</v>
      </c>
      <c r="F924">
        <v>198</v>
      </c>
      <c r="G924">
        <v>217</v>
      </c>
      <c r="H924">
        <v>15</v>
      </c>
      <c r="I924">
        <v>4</v>
      </c>
      <c r="J924">
        <v>0.403333996038028</v>
      </c>
      <c r="L924">
        <v>-3.7343080319489803E-2</v>
      </c>
      <c r="M924">
        <v>1</v>
      </c>
      <c r="O924">
        <v>-3.7343080319489803E-2</v>
      </c>
    </row>
    <row r="925" spans="1:15" hidden="1" x14ac:dyDescent="0.3">
      <c r="A925" t="s">
        <v>38</v>
      </c>
      <c r="B925" t="s">
        <v>279</v>
      </c>
      <c r="C925">
        <v>0</v>
      </c>
      <c r="D925">
        <v>1</v>
      </c>
      <c r="E925">
        <v>15</v>
      </c>
      <c r="F925">
        <v>201</v>
      </c>
      <c r="G925">
        <v>217</v>
      </c>
      <c r="H925">
        <v>15</v>
      </c>
      <c r="I925">
        <v>1</v>
      </c>
      <c r="J925">
        <v>0.22755841388363099</v>
      </c>
      <c r="L925">
        <v>-1.8541423312082701E-2</v>
      </c>
      <c r="M925">
        <v>1</v>
      </c>
      <c r="O925">
        <v>-1.8541423312082701E-2</v>
      </c>
    </row>
    <row r="926" spans="1:15" hidden="1" x14ac:dyDescent="0.3">
      <c r="A926" t="s">
        <v>38</v>
      </c>
      <c r="B926" t="s">
        <v>262</v>
      </c>
      <c r="C926">
        <v>0</v>
      </c>
      <c r="D926">
        <v>3</v>
      </c>
      <c r="E926">
        <v>15</v>
      </c>
      <c r="F926">
        <v>199</v>
      </c>
      <c r="G926">
        <v>217</v>
      </c>
      <c r="H926">
        <v>15</v>
      </c>
      <c r="I926">
        <v>3</v>
      </c>
      <c r="J926">
        <v>0.36059268083810198</v>
      </c>
      <c r="L926">
        <v>-3.2264406854337999E-2</v>
      </c>
      <c r="M926">
        <v>1</v>
      </c>
      <c r="O926">
        <v>-3.2264406854337999E-2</v>
      </c>
    </row>
    <row r="927" spans="1:15" hidden="1" x14ac:dyDescent="0.3">
      <c r="A927" t="s">
        <v>38</v>
      </c>
      <c r="B927" t="s">
        <v>321</v>
      </c>
      <c r="C927">
        <v>0</v>
      </c>
      <c r="D927">
        <v>1</v>
      </c>
      <c r="E927">
        <v>15</v>
      </c>
      <c r="F927">
        <v>201</v>
      </c>
      <c r="G927">
        <v>217</v>
      </c>
      <c r="H927">
        <v>15</v>
      </c>
      <c r="I927">
        <v>1</v>
      </c>
      <c r="J927">
        <v>0.22755841388363099</v>
      </c>
      <c r="L927">
        <v>-1.8541423312082701E-2</v>
      </c>
      <c r="M927">
        <v>1</v>
      </c>
      <c r="O927">
        <v>-1.8541423312082701E-2</v>
      </c>
    </row>
    <row r="928" spans="1:15" hidden="1" x14ac:dyDescent="0.3">
      <c r="A928" t="s">
        <v>38</v>
      </c>
      <c r="B928" t="s">
        <v>215</v>
      </c>
      <c r="C928">
        <v>0</v>
      </c>
      <c r="D928">
        <v>3</v>
      </c>
      <c r="E928">
        <v>15</v>
      </c>
      <c r="F928">
        <v>199</v>
      </c>
      <c r="G928">
        <v>217</v>
      </c>
      <c r="H928">
        <v>15</v>
      </c>
      <c r="I928">
        <v>3</v>
      </c>
      <c r="J928">
        <v>0.36059268083810198</v>
      </c>
      <c r="L928">
        <v>-3.2264406854337999E-2</v>
      </c>
      <c r="M928">
        <v>1</v>
      </c>
      <c r="O928">
        <v>-3.2264406854337999E-2</v>
      </c>
    </row>
    <row r="929" spans="1:15" hidden="1" x14ac:dyDescent="0.3">
      <c r="A929" t="s">
        <v>38</v>
      </c>
      <c r="B929" t="s">
        <v>341</v>
      </c>
      <c r="C929">
        <v>0</v>
      </c>
      <c r="D929">
        <v>1</v>
      </c>
      <c r="E929">
        <v>15</v>
      </c>
      <c r="F929">
        <v>201</v>
      </c>
      <c r="G929">
        <v>217</v>
      </c>
      <c r="H929">
        <v>15</v>
      </c>
      <c r="I929">
        <v>1</v>
      </c>
      <c r="J929">
        <v>0.22755841388363099</v>
      </c>
      <c r="L929">
        <v>-1.8541423312082701E-2</v>
      </c>
      <c r="M929">
        <v>1</v>
      </c>
      <c r="O929">
        <v>-1.8541423312082701E-2</v>
      </c>
    </row>
    <row r="930" spans="1:15" hidden="1" x14ac:dyDescent="0.3">
      <c r="A930" t="s">
        <v>38</v>
      </c>
      <c r="B930" t="s">
        <v>214</v>
      </c>
      <c r="C930">
        <v>0</v>
      </c>
      <c r="D930">
        <v>3</v>
      </c>
      <c r="E930">
        <v>15</v>
      </c>
      <c r="F930">
        <v>199</v>
      </c>
      <c r="G930">
        <v>217</v>
      </c>
      <c r="H930">
        <v>15</v>
      </c>
      <c r="I930">
        <v>3</v>
      </c>
      <c r="J930">
        <v>0.36059268083810198</v>
      </c>
      <c r="L930">
        <v>-3.2264406854337999E-2</v>
      </c>
      <c r="M930">
        <v>1</v>
      </c>
      <c r="O930">
        <v>-3.2264406854337999E-2</v>
      </c>
    </row>
    <row r="931" spans="1:15" hidden="1" x14ac:dyDescent="0.3">
      <c r="A931" t="s">
        <v>38</v>
      </c>
      <c r="B931" t="s">
        <v>168</v>
      </c>
      <c r="C931">
        <v>0</v>
      </c>
      <c r="D931">
        <v>5</v>
      </c>
      <c r="E931">
        <v>15</v>
      </c>
      <c r="F931">
        <v>197</v>
      </c>
      <c r="G931">
        <v>217</v>
      </c>
      <c r="H931">
        <v>15</v>
      </c>
      <c r="I931">
        <v>5</v>
      </c>
      <c r="J931">
        <v>0.43861608620107101</v>
      </c>
      <c r="L931">
        <v>-4.1849186141681302E-2</v>
      </c>
      <c r="M931">
        <v>1</v>
      </c>
      <c r="O931">
        <v>-4.1849186141681302E-2</v>
      </c>
    </row>
    <row r="932" spans="1:15" hidden="1" x14ac:dyDescent="0.3">
      <c r="A932" t="s">
        <v>38</v>
      </c>
      <c r="B932" t="s">
        <v>352</v>
      </c>
      <c r="C932">
        <v>0</v>
      </c>
      <c r="D932">
        <v>1</v>
      </c>
      <c r="E932">
        <v>15</v>
      </c>
      <c r="F932">
        <v>201</v>
      </c>
      <c r="G932">
        <v>217</v>
      </c>
      <c r="H932">
        <v>15</v>
      </c>
      <c r="I932">
        <v>1</v>
      </c>
      <c r="J932">
        <v>0.22755841388363099</v>
      </c>
      <c r="L932">
        <v>-1.8541423312082701E-2</v>
      </c>
      <c r="M932">
        <v>1</v>
      </c>
      <c r="O932">
        <v>-1.8541423312082701E-2</v>
      </c>
    </row>
    <row r="933" spans="1:15" x14ac:dyDescent="0.3">
      <c r="A933" t="s">
        <v>38</v>
      </c>
      <c r="B933" t="s">
        <v>169</v>
      </c>
      <c r="C933">
        <v>0</v>
      </c>
      <c r="D933">
        <v>2</v>
      </c>
      <c r="E933">
        <v>15</v>
      </c>
      <c r="F933">
        <v>200</v>
      </c>
      <c r="G933">
        <v>217</v>
      </c>
      <c r="H933">
        <v>15</v>
      </c>
      <c r="I933">
        <v>2</v>
      </c>
      <c r="J933">
        <v>0.30590634059779898</v>
      </c>
      <c r="L933">
        <v>-2.62824418784426E-2</v>
      </c>
      <c r="M933">
        <v>1</v>
      </c>
      <c r="O933">
        <v>-2.62824418784426E-2</v>
      </c>
    </row>
    <row r="934" spans="1:15" x14ac:dyDescent="0.3">
      <c r="A934" t="s">
        <v>38</v>
      </c>
      <c r="B934" t="s">
        <v>175</v>
      </c>
      <c r="C934">
        <v>0</v>
      </c>
      <c r="D934">
        <v>1</v>
      </c>
      <c r="E934">
        <v>15</v>
      </c>
      <c r="F934">
        <v>201</v>
      </c>
      <c r="G934">
        <v>217</v>
      </c>
      <c r="H934">
        <v>15</v>
      </c>
      <c r="I934">
        <v>1</v>
      </c>
      <c r="J934">
        <v>0.22755841388363099</v>
      </c>
      <c r="L934">
        <v>-1.8541423312082701E-2</v>
      </c>
      <c r="M934">
        <v>1</v>
      </c>
      <c r="O934">
        <v>-1.8541423312082701E-2</v>
      </c>
    </row>
    <row r="935" spans="1:15" hidden="1" x14ac:dyDescent="0.3">
      <c r="A935" t="s">
        <v>38</v>
      </c>
      <c r="B935" t="s">
        <v>340</v>
      </c>
      <c r="C935">
        <v>0</v>
      </c>
      <c r="D935">
        <v>1</v>
      </c>
      <c r="E935">
        <v>15</v>
      </c>
      <c r="F935">
        <v>201</v>
      </c>
      <c r="G935">
        <v>217</v>
      </c>
      <c r="H935">
        <v>15</v>
      </c>
      <c r="I935">
        <v>1</v>
      </c>
      <c r="J935">
        <v>0.22755841388363099</v>
      </c>
      <c r="L935">
        <v>-1.8541423312082701E-2</v>
      </c>
      <c r="M935">
        <v>1</v>
      </c>
      <c r="O935">
        <v>-1.8541423312082701E-2</v>
      </c>
    </row>
    <row r="936" spans="1:15" hidden="1" x14ac:dyDescent="0.3">
      <c r="A936" t="s">
        <v>38</v>
      </c>
      <c r="B936" t="s">
        <v>190</v>
      </c>
      <c r="C936">
        <v>0</v>
      </c>
      <c r="D936">
        <v>2</v>
      </c>
      <c r="E936">
        <v>15</v>
      </c>
      <c r="F936">
        <v>200</v>
      </c>
      <c r="G936">
        <v>217</v>
      </c>
      <c r="H936">
        <v>15</v>
      </c>
      <c r="I936">
        <v>2</v>
      </c>
      <c r="J936">
        <v>0.30590634059779898</v>
      </c>
      <c r="L936">
        <v>-2.62824418784426E-2</v>
      </c>
      <c r="M936">
        <v>1</v>
      </c>
      <c r="O936">
        <v>-2.62824418784426E-2</v>
      </c>
    </row>
    <row r="937" spans="1:15" hidden="1" x14ac:dyDescent="0.3">
      <c r="A937" t="s">
        <v>38</v>
      </c>
      <c r="B937" t="s">
        <v>346</v>
      </c>
      <c r="C937">
        <v>0</v>
      </c>
      <c r="D937">
        <v>1</v>
      </c>
      <c r="E937">
        <v>15</v>
      </c>
      <c r="F937">
        <v>201</v>
      </c>
      <c r="G937">
        <v>217</v>
      </c>
      <c r="H937">
        <v>15</v>
      </c>
      <c r="I937">
        <v>1</v>
      </c>
      <c r="J937">
        <v>0.22755841388363099</v>
      </c>
      <c r="L937">
        <v>-1.8541423312082701E-2</v>
      </c>
      <c r="M937">
        <v>1</v>
      </c>
      <c r="O937">
        <v>-1.8541423312082701E-2</v>
      </c>
    </row>
    <row r="938" spans="1:15" hidden="1" x14ac:dyDescent="0.3">
      <c r="A938" t="s">
        <v>38</v>
      </c>
      <c r="B938" t="s">
        <v>309</v>
      </c>
      <c r="C938">
        <v>0</v>
      </c>
      <c r="D938">
        <v>1</v>
      </c>
      <c r="E938">
        <v>15</v>
      </c>
      <c r="F938">
        <v>201</v>
      </c>
      <c r="G938">
        <v>217</v>
      </c>
      <c r="H938">
        <v>15</v>
      </c>
      <c r="I938">
        <v>1</v>
      </c>
      <c r="J938">
        <v>0.22755841388363099</v>
      </c>
      <c r="L938">
        <v>-1.8541423312082701E-2</v>
      </c>
      <c r="M938">
        <v>1</v>
      </c>
      <c r="O938">
        <v>-1.8541423312082701E-2</v>
      </c>
    </row>
    <row r="939" spans="1:15" hidden="1" x14ac:dyDescent="0.3">
      <c r="A939" t="s">
        <v>38</v>
      </c>
      <c r="B939" t="s">
        <v>148</v>
      </c>
      <c r="C939">
        <v>0</v>
      </c>
      <c r="D939">
        <v>2</v>
      </c>
      <c r="E939">
        <v>15</v>
      </c>
      <c r="F939">
        <v>200</v>
      </c>
      <c r="G939">
        <v>217</v>
      </c>
      <c r="H939">
        <v>15</v>
      </c>
      <c r="I939">
        <v>2</v>
      </c>
      <c r="J939">
        <v>0.30590634059779898</v>
      </c>
      <c r="L939">
        <v>-2.62824418784426E-2</v>
      </c>
      <c r="M939">
        <v>1</v>
      </c>
      <c r="O939">
        <v>-2.62824418784426E-2</v>
      </c>
    </row>
    <row r="940" spans="1:15" hidden="1" x14ac:dyDescent="0.3">
      <c r="A940" t="s">
        <v>38</v>
      </c>
      <c r="B940" t="s">
        <v>217</v>
      </c>
      <c r="C940">
        <v>0</v>
      </c>
      <c r="D940">
        <v>1</v>
      </c>
      <c r="E940">
        <v>15</v>
      </c>
      <c r="F940">
        <v>201</v>
      </c>
      <c r="G940">
        <v>217</v>
      </c>
      <c r="H940">
        <v>15</v>
      </c>
      <c r="I940">
        <v>1</v>
      </c>
      <c r="J940">
        <v>0.22755841388363099</v>
      </c>
      <c r="L940">
        <v>-1.8541423312082701E-2</v>
      </c>
      <c r="M940">
        <v>1</v>
      </c>
      <c r="O940">
        <v>-1.8541423312082701E-2</v>
      </c>
    </row>
    <row r="941" spans="1:15" hidden="1" x14ac:dyDescent="0.3">
      <c r="A941" t="s">
        <v>38</v>
      </c>
      <c r="B941" t="s">
        <v>348</v>
      </c>
      <c r="C941">
        <v>0</v>
      </c>
      <c r="D941">
        <v>1</v>
      </c>
      <c r="E941">
        <v>15</v>
      </c>
      <c r="F941">
        <v>201</v>
      </c>
      <c r="G941">
        <v>217</v>
      </c>
      <c r="H941">
        <v>15</v>
      </c>
      <c r="I941">
        <v>1</v>
      </c>
      <c r="J941">
        <v>0.22755841388363099</v>
      </c>
      <c r="L941">
        <v>-1.8541423312082701E-2</v>
      </c>
      <c r="M941">
        <v>1</v>
      </c>
      <c r="O941">
        <v>-1.8541423312082701E-2</v>
      </c>
    </row>
    <row r="942" spans="1:15" hidden="1" x14ac:dyDescent="0.3">
      <c r="A942" t="s">
        <v>38</v>
      </c>
      <c r="B942" t="s">
        <v>222</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38</v>
      </c>
      <c r="B943" t="s">
        <v>269</v>
      </c>
      <c r="C943">
        <v>0</v>
      </c>
      <c r="D943">
        <v>12</v>
      </c>
      <c r="E943">
        <v>15</v>
      </c>
      <c r="F943">
        <v>190</v>
      </c>
      <c r="G943">
        <v>217</v>
      </c>
      <c r="H943">
        <v>15</v>
      </c>
      <c r="I943">
        <v>12</v>
      </c>
      <c r="J943">
        <v>0.59115828020219596</v>
      </c>
      <c r="L943">
        <v>-6.5930085249669798E-2</v>
      </c>
      <c r="M943">
        <v>1</v>
      </c>
      <c r="O943">
        <v>-6.5930085249669798E-2</v>
      </c>
    </row>
    <row r="944" spans="1:15" hidden="1" x14ac:dyDescent="0.3">
      <c r="A944" t="s">
        <v>38</v>
      </c>
      <c r="B944" t="s">
        <v>349</v>
      </c>
      <c r="C944">
        <v>0</v>
      </c>
      <c r="D944">
        <v>1</v>
      </c>
      <c r="E944">
        <v>15</v>
      </c>
      <c r="F944">
        <v>201</v>
      </c>
      <c r="G944">
        <v>217</v>
      </c>
      <c r="H944">
        <v>15</v>
      </c>
      <c r="I944">
        <v>1</v>
      </c>
      <c r="J944">
        <v>0.22755841388363099</v>
      </c>
      <c r="L944">
        <v>-1.8541423312082701E-2</v>
      </c>
      <c r="M944">
        <v>1</v>
      </c>
      <c r="O944">
        <v>-1.8541423312082701E-2</v>
      </c>
    </row>
    <row r="945" spans="1:15" hidden="1" x14ac:dyDescent="0.3">
      <c r="A945" t="s">
        <v>38</v>
      </c>
      <c r="B945" t="s">
        <v>350</v>
      </c>
      <c r="C945">
        <v>0</v>
      </c>
      <c r="D945">
        <v>1</v>
      </c>
      <c r="E945">
        <v>15</v>
      </c>
      <c r="F945">
        <v>201</v>
      </c>
      <c r="G945">
        <v>217</v>
      </c>
      <c r="H945">
        <v>15</v>
      </c>
      <c r="I945">
        <v>1</v>
      </c>
      <c r="J945">
        <v>0.22755841388363099</v>
      </c>
      <c r="L945">
        <v>-1.8541423312082701E-2</v>
      </c>
      <c r="M945">
        <v>1</v>
      </c>
      <c r="O945">
        <v>-1.8541423312082701E-2</v>
      </c>
    </row>
    <row r="946" spans="1:15" hidden="1" x14ac:dyDescent="0.3">
      <c r="A946" t="s">
        <v>38</v>
      </c>
      <c r="B946" t="s">
        <v>218</v>
      </c>
      <c r="C946">
        <v>0</v>
      </c>
      <c r="D946">
        <v>7</v>
      </c>
      <c r="E946">
        <v>15</v>
      </c>
      <c r="F946">
        <v>195</v>
      </c>
      <c r="G946">
        <v>217</v>
      </c>
      <c r="H946">
        <v>15</v>
      </c>
      <c r="I946">
        <v>7</v>
      </c>
      <c r="J946">
        <v>0.494966265558689</v>
      </c>
      <c r="L946">
        <v>-4.9751859510499402E-2</v>
      </c>
      <c r="M946">
        <v>1</v>
      </c>
      <c r="O946">
        <v>-4.9751859510499402E-2</v>
      </c>
    </row>
    <row r="947" spans="1:15" hidden="1" x14ac:dyDescent="0.3">
      <c r="A947" t="s">
        <v>38</v>
      </c>
      <c r="B947" t="s">
        <v>261</v>
      </c>
      <c r="C947">
        <v>0</v>
      </c>
      <c r="D947">
        <v>4</v>
      </c>
      <c r="E947">
        <v>15</v>
      </c>
      <c r="F947">
        <v>198</v>
      </c>
      <c r="G947">
        <v>217</v>
      </c>
      <c r="H947">
        <v>15</v>
      </c>
      <c r="I947">
        <v>4</v>
      </c>
      <c r="J947">
        <v>0.403333996038028</v>
      </c>
      <c r="L947">
        <v>-3.7343080319489803E-2</v>
      </c>
      <c r="M947">
        <v>1</v>
      </c>
      <c r="O947">
        <v>-3.7343080319489803E-2</v>
      </c>
    </row>
    <row r="948" spans="1:15" hidden="1" x14ac:dyDescent="0.3">
      <c r="A948" t="s">
        <v>38</v>
      </c>
      <c r="B948" t="s">
        <v>277</v>
      </c>
      <c r="C948">
        <v>0</v>
      </c>
      <c r="D948">
        <v>2</v>
      </c>
      <c r="E948">
        <v>15</v>
      </c>
      <c r="F948">
        <v>200</v>
      </c>
      <c r="G948">
        <v>217</v>
      </c>
      <c r="H948">
        <v>15</v>
      </c>
      <c r="I948">
        <v>2</v>
      </c>
      <c r="J948">
        <v>0.30590634059779898</v>
      </c>
      <c r="L948">
        <v>-2.62824418784426E-2</v>
      </c>
      <c r="M948">
        <v>1</v>
      </c>
      <c r="O948">
        <v>-2.62824418784426E-2</v>
      </c>
    </row>
    <row r="949" spans="1:15" hidden="1" x14ac:dyDescent="0.3">
      <c r="A949" t="s">
        <v>38</v>
      </c>
      <c r="B949" t="s">
        <v>251</v>
      </c>
      <c r="C949">
        <v>0</v>
      </c>
      <c r="D949">
        <v>2</v>
      </c>
      <c r="E949">
        <v>15</v>
      </c>
      <c r="F949">
        <v>200</v>
      </c>
      <c r="G949">
        <v>217</v>
      </c>
      <c r="H949">
        <v>15</v>
      </c>
      <c r="I949">
        <v>2</v>
      </c>
      <c r="J949">
        <v>0.30590634059779898</v>
      </c>
      <c r="L949">
        <v>-2.62824418784426E-2</v>
      </c>
      <c r="M949">
        <v>1</v>
      </c>
      <c r="O949">
        <v>-2.62824418784426E-2</v>
      </c>
    </row>
    <row r="950" spans="1:15" hidden="1" x14ac:dyDescent="0.3">
      <c r="A950" t="s">
        <v>38</v>
      </c>
      <c r="B950" t="s">
        <v>259</v>
      </c>
      <c r="C950">
        <v>0</v>
      </c>
      <c r="D950">
        <v>2</v>
      </c>
      <c r="E950">
        <v>15</v>
      </c>
      <c r="F950">
        <v>200</v>
      </c>
      <c r="G950">
        <v>217</v>
      </c>
      <c r="H950">
        <v>15</v>
      </c>
      <c r="I950">
        <v>2</v>
      </c>
      <c r="J950">
        <v>0.30590634059779898</v>
      </c>
      <c r="L950">
        <v>-2.62824418784426E-2</v>
      </c>
      <c r="M950">
        <v>1</v>
      </c>
      <c r="O950">
        <v>-2.62824418784426E-2</v>
      </c>
    </row>
    <row r="951" spans="1:15" hidden="1" x14ac:dyDescent="0.3">
      <c r="A951" t="s">
        <v>38</v>
      </c>
      <c r="B951" t="s">
        <v>329</v>
      </c>
      <c r="C951">
        <v>0</v>
      </c>
      <c r="D951">
        <v>2</v>
      </c>
      <c r="E951">
        <v>15</v>
      </c>
      <c r="F951">
        <v>200</v>
      </c>
      <c r="G951">
        <v>217</v>
      </c>
      <c r="H951">
        <v>15</v>
      </c>
      <c r="I951">
        <v>2</v>
      </c>
      <c r="J951">
        <v>0.30590634059779898</v>
      </c>
      <c r="L951">
        <v>-2.62824418784426E-2</v>
      </c>
      <c r="M951">
        <v>1</v>
      </c>
      <c r="O951">
        <v>-2.62824418784426E-2</v>
      </c>
    </row>
    <row r="952" spans="1:15" hidden="1" x14ac:dyDescent="0.3">
      <c r="A952" t="s">
        <v>38</v>
      </c>
      <c r="B952" t="s">
        <v>360</v>
      </c>
      <c r="C952">
        <v>0</v>
      </c>
      <c r="D952">
        <v>2</v>
      </c>
      <c r="E952">
        <v>15</v>
      </c>
      <c r="F952">
        <v>200</v>
      </c>
      <c r="G952">
        <v>217</v>
      </c>
      <c r="H952">
        <v>15</v>
      </c>
      <c r="I952">
        <v>2</v>
      </c>
      <c r="J952">
        <v>0.30590634059779898</v>
      </c>
      <c r="L952">
        <v>-2.62824418784426E-2</v>
      </c>
      <c r="M952">
        <v>1</v>
      </c>
      <c r="O952">
        <v>-2.62824418784426E-2</v>
      </c>
    </row>
    <row r="953" spans="1:15" hidden="1" x14ac:dyDescent="0.3">
      <c r="A953" t="s">
        <v>38</v>
      </c>
      <c r="B953" t="s">
        <v>358</v>
      </c>
      <c r="C953">
        <v>0</v>
      </c>
      <c r="D953">
        <v>2</v>
      </c>
      <c r="E953">
        <v>15</v>
      </c>
      <c r="F953">
        <v>200</v>
      </c>
      <c r="G953">
        <v>217</v>
      </c>
      <c r="H953">
        <v>15</v>
      </c>
      <c r="I953">
        <v>2</v>
      </c>
      <c r="J953">
        <v>0.30590634059779898</v>
      </c>
      <c r="L953">
        <v>-2.62824418784426E-2</v>
      </c>
      <c r="M953">
        <v>1</v>
      </c>
      <c r="O953">
        <v>-2.62824418784426E-2</v>
      </c>
    </row>
    <row r="954" spans="1:15" hidden="1" x14ac:dyDescent="0.3">
      <c r="A954" t="s">
        <v>38</v>
      </c>
      <c r="B954" t="s">
        <v>312</v>
      </c>
      <c r="C954">
        <v>0</v>
      </c>
      <c r="D954">
        <v>1</v>
      </c>
      <c r="E954">
        <v>15</v>
      </c>
      <c r="F954">
        <v>201</v>
      </c>
      <c r="G954">
        <v>217</v>
      </c>
      <c r="H954">
        <v>15</v>
      </c>
      <c r="I954">
        <v>1</v>
      </c>
      <c r="J954">
        <v>0.22755841388363099</v>
      </c>
      <c r="L954">
        <v>-1.8541423312082701E-2</v>
      </c>
      <c r="M954">
        <v>1</v>
      </c>
      <c r="O954">
        <v>-1.8541423312082701E-2</v>
      </c>
    </row>
    <row r="955" spans="1:15" hidden="1" x14ac:dyDescent="0.3">
      <c r="A955" t="s">
        <v>38</v>
      </c>
      <c r="B955" t="s">
        <v>361</v>
      </c>
      <c r="C955">
        <v>0</v>
      </c>
      <c r="D955">
        <v>4</v>
      </c>
      <c r="E955">
        <v>15</v>
      </c>
      <c r="F955">
        <v>198</v>
      </c>
      <c r="G955">
        <v>217</v>
      </c>
      <c r="H955">
        <v>15</v>
      </c>
      <c r="I955">
        <v>4</v>
      </c>
      <c r="J955">
        <v>0.403333996038028</v>
      </c>
      <c r="L955">
        <v>-3.7343080319489803E-2</v>
      </c>
      <c r="M955">
        <v>1</v>
      </c>
      <c r="O955">
        <v>-3.7343080319489803E-2</v>
      </c>
    </row>
    <row r="956" spans="1:15" hidden="1" x14ac:dyDescent="0.3">
      <c r="A956" t="s">
        <v>38</v>
      </c>
      <c r="B956" t="s">
        <v>288</v>
      </c>
      <c r="C956">
        <v>0</v>
      </c>
      <c r="D956">
        <v>1</v>
      </c>
      <c r="E956">
        <v>15</v>
      </c>
      <c r="F956">
        <v>201</v>
      </c>
      <c r="G956">
        <v>217</v>
      </c>
      <c r="H956">
        <v>15</v>
      </c>
      <c r="I956">
        <v>1</v>
      </c>
      <c r="J956">
        <v>0.22755841388363099</v>
      </c>
      <c r="L956">
        <v>-1.8541423312082701E-2</v>
      </c>
      <c r="M956">
        <v>1</v>
      </c>
      <c r="O956">
        <v>-1.8541423312082701E-2</v>
      </c>
    </row>
    <row r="957" spans="1:15" hidden="1" x14ac:dyDescent="0.3">
      <c r="A957" t="s">
        <v>38</v>
      </c>
      <c r="B957" t="s">
        <v>306</v>
      </c>
      <c r="C957">
        <v>0</v>
      </c>
      <c r="D957">
        <v>1</v>
      </c>
      <c r="E957">
        <v>15</v>
      </c>
      <c r="F957">
        <v>201</v>
      </c>
      <c r="G957">
        <v>217</v>
      </c>
      <c r="H957">
        <v>15</v>
      </c>
      <c r="I957">
        <v>1</v>
      </c>
      <c r="J957">
        <v>0.22755841388363099</v>
      </c>
      <c r="L957">
        <v>-1.8541423312082701E-2</v>
      </c>
      <c r="M957">
        <v>1</v>
      </c>
      <c r="O957">
        <v>-1.8541423312082701E-2</v>
      </c>
    </row>
    <row r="958" spans="1:15" hidden="1" x14ac:dyDescent="0.3">
      <c r="A958" t="s">
        <v>38</v>
      </c>
      <c r="B958" t="s">
        <v>345</v>
      </c>
      <c r="C958">
        <v>0</v>
      </c>
      <c r="D958">
        <v>1</v>
      </c>
      <c r="E958">
        <v>15</v>
      </c>
      <c r="F958">
        <v>201</v>
      </c>
      <c r="G958">
        <v>217</v>
      </c>
      <c r="H958">
        <v>15</v>
      </c>
      <c r="I958">
        <v>1</v>
      </c>
      <c r="J958">
        <v>0.22755841388363099</v>
      </c>
      <c r="L958">
        <v>-1.8541423312082701E-2</v>
      </c>
      <c r="M958">
        <v>1</v>
      </c>
      <c r="O958">
        <v>-1.8541423312082701E-2</v>
      </c>
    </row>
    <row r="959" spans="1:15" hidden="1" x14ac:dyDescent="0.3">
      <c r="A959" t="s">
        <v>38</v>
      </c>
      <c r="B959" t="s">
        <v>338</v>
      </c>
      <c r="C959">
        <v>0</v>
      </c>
      <c r="D959">
        <v>5</v>
      </c>
      <c r="E959">
        <v>15</v>
      </c>
      <c r="F959">
        <v>197</v>
      </c>
      <c r="G959">
        <v>217</v>
      </c>
      <c r="H959">
        <v>15</v>
      </c>
      <c r="I959">
        <v>5</v>
      </c>
      <c r="J959">
        <v>0.43861608620107101</v>
      </c>
      <c r="L959">
        <v>-4.1849186141681302E-2</v>
      </c>
      <c r="M959">
        <v>1</v>
      </c>
      <c r="O959">
        <v>-4.1849186141681302E-2</v>
      </c>
    </row>
    <row r="960" spans="1:15" hidden="1" x14ac:dyDescent="0.3">
      <c r="A960" t="s">
        <v>38</v>
      </c>
      <c r="B960" t="s">
        <v>328</v>
      </c>
      <c r="C960">
        <v>0</v>
      </c>
      <c r="D960">
        <v>2</v>
      </c>
      <c r="E960">
        <v>15</v>
      </c>
      <c r="F960">
        <v>200</v>
      </c>
      <c r="G960">
        <v>217</v>
      </c>
      <c r="H960">
        <v>15</v>
      </c>
      <c r="I960">
        <v>2</v>
      </c>
      <c r="J960">
        <v>0.30590634059779898</v>
      </c>
      <c r="L960">
        <v>-2.62824418784426E-2</v>
      </c>
      <c r="M960">
        <v>1</v>
      </c>
      <c r="O960">
        <v>-2.62824418784426E-2</v>
      </c>
    </row>
    <row r="961" spans="1:15" hidden="1" x14ac:dyDescent="0.3">
      <c r="A961" t="s">
        <v>38</v>
      </c>
      <c r="B961" t="s">
        <v>293</v>
      </c>
      <c r="C961">
        <v>0</v>
      </c>
      <c r="D961">
        <v>2</v>
      </c>
      <c r="E961">
        <v>15</v>
      </c>
      <c r="F961">
        <v>200</v>
      </c>
      <c r="G961">
        <v>217</v>
      </c>
      <c r="H961">
        <v>15</v>
      </c>
      <c r="I961">
        <v>2</v>
      </c>
      <c r="J961">
        <v>0.30590634059779898</v>
      </c>
      <c r="L961">
        <v>-2.62824418784426E-2</v>
      </c>
      <c r="M961">
        <v>1</v>
      </c>
      <c r="O961">
        <v>-2.62824418784426E-2</v>
      </c>
    </row>
    <row r="962" spans="1:15" hidden="1" x14ac:dyDescent="0.3">
      <c r="A962" t="s">
        <v>38</v>
      </c>
      <c r="B962" t="s">
        <v>297</v>
      </c>
      <c r="C962">
        <v>0</v>
      </c>
      <c r="D962">
        <v>1</v>
      </c>
      <c r="E962">
        <v>15</v>
      </c>
      <c r="F962">
        <v>201</v>
      </c>
      <c r="G962">
        <v>217</v>
      </c>
      <c r="H962">
        <v>15</v>
      </c>
      <c r="I962">
        <v>1</v>
      </c>
      <c r="J962">
        <v>0.22755841388363099</v>
      </c>
      <c r="L962">
        <v>-1.8541423312082701E-2</v>
      </c>
      <c r="M962">
        <v>1</v>
      </c>
      <c r="O962">
        <v>-1.8541423312082701E-2</v>
      </c>
    </row>
    <row r="963" spans="1:15" hidden="1" x14ac:dyDescent="0.3">
      <c r="A963" t="s">
        <v>38</v>
      </c>
      <c r="B963" t="s">
        <v>264</v>
      </c>
      <c r="C963">
        <v>0</v>
      </c>
      <c r="D963">
        <v>3</v>
      </c>
      <c r="E963">
        <v>15</v>
      </c>
      <c r="F963">
        <v>199</v>
      </c>
      <c r="G963">
        <v>217</v>
      </c>
      <c r="H963">
        <v>15</v>
      </c>
      <c r="I963">
        <v>3</v>
      </c>
      <c r="J963">
        <v>0.36059268083810198</v>
      </c>
      <c r="L963">
        <v>-3.2264406854337999E-2</v>
      </c>
      <c r="M963">
        <v>1</v>
      </c>
      <c r="O963">
        <v>-3.2264406854337999E-2</v>
      </c>
    </row>
    <row r="964" spans="1:15" hidden="1" x14ac:dyDescent="0.3">
      <c r="A964" t="s">
        <v>38</v>
      </c>
      <c r="B964" t="s">
        <v>359</v>
      </c>
      <c r="C964">
        <v>0</v>
      </c>
      <c r="D964">
        <v>2</v>
      </c>
      <c r="E964">
        <v>15</v>
      </c>
      <c r="F964">
        <v>200</v>
      </c>
      <c r="G964">
        <v>217</v>
      </c>
      <c r="H964">
        <v>15</v>
      </c>
      <c r="I964">
        <v>2</v>
      </c>
      <c r="J964">
        <v>0.30590634059779898</v>
      </c>
      <c r="L964">
        <v>-2.62824418784426E-2</v>
      </c>
      <c r="M964">
        <v>1</v>
      </c>
      <c r="O964">
        <v>-2.62824418784426E-2</v>
      </c>
    </row>
    <row r="965" spans="1:15" hidden="1" x14ac:dyDescent="0.3">
      <c r="A965" t="s">
        <v>38</v>
      </c>
      <c r="B965" t="s">
        <v>313</v>
      </c>
      <c r="C965">
        <v>0</v>
      </c>
      <c r="D965">
        <v>1</v>
      </c>
      <c r="E965">
        <v>15</v>
      </c>
      <c r="F965">
        <v>201</v>
      </c>
      <c r="G965">
        <v>217</v>
      </c>
      <c r="H965">
        <v>15</v>
      </c>
      <c r="I965">
        <v>1</v>
      </c>
      <c r="J965">
        <v>0.22755841388363099</v>
      </c>
      <c r="L965">
        <v>-1.8541423312082701E-2</v>
      </c>
      <c r="M965">
        <v>1</v>
      </c>
      <c r="O965">
        <v>-1.8541423312082701E-2</v>
      </c>
    </row>
    <row r="966" spans="1:15" hidden="1" x14ac:dyDescent="0.3">
      <c r="A966" t="s">
        <v>38</v>
      </c>
      <c r="B966" t="s">
        <v>331</v>
      </c>
      <c r="C966">
        <v>0</v>
      </c>
      <c r="D966">
        <v>2</v>
      </c>
      <c r="E966">
        <v>15</v>
      </c>
      <c r="F966">
        <v>200</v>
      </c>
      <c r="G966">
        <v>217</v>
      </c>
      <c r="H966">
        <v>15</v>
      </c>
      <c r="I966">
        <v>2</v>
      </c>
      <c r="J966">
        <v>0.30590634059779898</v>
      </c>
      <c r="L966">
        <v>-2.62824418784426E-2</v>
      </c>
      <c r="M966">
        <v>1</v>
      </c>
      <c r="O966">
        <v>-2.62824418784426E-2</v>
      </c>
    </row>
    <row r="967" spans="1:15" hidden="1" x14ac:dyDescent="0.3">
      <c r="A967" t="s">
        <v>38</v>
      </c>
      <c r="B967" t="s">
        <v>285</v>
      </c>
      <c r="C967">
        <v>0</v>
      </c>
      <c r="D967">
        <v>1</v>
      </c>
      <c r="E967">
        <v>15</v>
      </c>
      <c r="F967">
        <v>201</v>
      </c>
      <c r="G967">
        <v>217</v>
      </c>
      <c r="H967">
        <v>15</v>
      </c>
      <c r="I967">
        <v>1</v>
      </c>
      <c r="J967">
        <v>0.22755841388363099</v>
      </c>
      <c r="L967">
        <v>-1.8541423312082701E-2</v>
      </c>
      <c r="M967">
        <v>1</v>
      </c>
      <c r="O967">
        <v>-1.8541423312082701E-2</v>
      </c>
    </row>
    <row r="968" spans="1:15" x14ac:dyDescent="0.3">
      <c r="A968" t="s">
        <v>38</v>
      </c>
      <c r="B968" t="s">
        <v>152</v>
      </c>
      <c r="C968">
        <v>0</v>
      </c>
      <c r="D968">
        <v>1</v>
      </c>
      <c r="E968">
        <v>15</v>
      </c>
      <c r="F968">
        <v>201</v>
      </c>
      <c r="G968">
        <v>217</v>
      </c>
      <c r="H968">
        <v>15</v>
      </c>
      <c r="I968">
        <v>1</v>
      </c>
      <c r="J968">
        <v>0.22755841388363099</v>
      </c>
      <c r="L968">
        <v>-1.8541423312082701E-2</v>
      </c>
      <c r="M968">
        <v>1</v>
      </c>
      <c r="O968">
        <v>-1.8541423312082701E-2</v>
      </c>
    </row>
    <row r="969" spans="1:15" hidden="1" x14ac:dyDescent="0.3">
      <c r="A969" t="s">
        <v>38</v>
      </c>
      <c r="B969" t="s">
        <v>311</v>
      </c>
      <c r="C969">
        <v>0</v>
      </c>
      <c r="D969">
        <v>1</v>
      </c>
      <c r="E969">
        <v>15</v>
      </c>
      <c r="F969">
        <v>201</v>
      </c>
      <c r="G969">
        <v>217</v>
      </c>
      <c r="H969">
        <v>15</v>
      </c>
      <c r="I969">
        <v>1</v>
      </c>
      <c r="J969">
        <v>0.22755841388363099</v>
      </c>
      <c r="L969">
        <v>-1.8541423312082701E-2</v>
      </c>
      <c r="M969">
        <v>1</v>
      </c>
      <c r="O969">
        <v>-1.8541423312082701E-2</v>
      </c>
    </row>
    <row r="970" spans="1:15" hidden="1" x14ac:dyDescent="0.3">
      <c r="A970" t="s">
        <v>38</v>
      </c>
      <c r="B970" t="s">
        <v>213</v>
      </c>
      <c r="C970">
        <v>0</v>
      </c>
      <c r="D970">
        <v>2</v>
      </c>
      <c r="E970">
        <v>15</v>
      </c>
      <c r="F970">
        <v>200</v>
      </c>
      <c r="G970">
        <v>217</v>
      </c>
      <c r="H970">
        <v>15</v>
      </c>
      <c r="I970">
        <v>2</v>
      </c>
      <c r="J970">
        <v>0.30590634059779898</v>
      </c>
      <c r="L970">
        <v>-2.62824418784426E-2</v>
      </c>
      <c r="M970">
        <v>1</v>
      </c>
      <c r="O970">
        <v>-2.62824418784426E-2</v>
      </c>
    </row>
    <row r="971" spans="1:15" hidden="1" x14ac:dyDescent="0.3">
      <c r="A971" t="s">
        <v>38</v>
      </c>
      <c r="B971" t="s">
        <v>330</v>
      </c>
      <c r="C971">
        <v>0</v>
      </c>
      <c r="D971">
        <v>2</v>
      </c>
      <c r="E971">
        <v>15</v>
      </c>
      <c r="F971">
        <v>200</v>
      </c>
      <c r="G971">
        <v>217</v>
      </c>
      <c r="H971">
        <v>15</v>
      </c>
      <c r="I971">
        <v>2</v>
      </c>
      <c r="J971">
        <v>0.30590634059779898</v>
      </c>
      <c r="L971">
        <v>-2.62824418784426E-2</v>
      </c>
      <c r="M971">
        <v>1</v>
      </c>
      <c r="O971">
        <v>-2.62824418784426E-2</v>
      </c>
    </row>
    <row r="972" spans="1:15" hidden="1" x14ac:dyDescent="0.3">
      <c r="A972" t="s">
        <v>38</v>
      </c>
      <c r="B972" t="s">
        <v>252</v>
      </c>
      <c r="C972">
        <v>0</v>
      </c>
      <c r="D972">
        <v>3</v>
      </c>
      <c r="E972">
        <v>15</v>
      </c>
      <c r="F972">
        <v>199</v>
      </c>
      <c r="G972">
        <v>217</v>
      </c>
      <c r="H972">
        <v>15</v>
      </c>
      <c r="I972">
        <v>3</v>
      </c>
      <c r="J972">
        <v>0.36059268083810198</v>
      </c>
      <c r="L972">
        <v>-3.2264406854337999E-2</v>
      </c>
      <c r="M972">
        <v>1</v>
      </c>
      <c r="O972">
        <v>-3.2264406854337999E-2</v>
      </c>
    </row>
    <row r="973" spans="1:15" hidden="1" x14ac:dyDescent="0.3">
      <c r="A973" t="s">
        <v>38</v>
      </c>
      <c r="B973" t="s">
        <v>281</v>
      </c>
      <c r="C973">
        <v>0</v>
      </c>
      <c r="D973">
        <v>1</v>
      </c>
      <c r="E973">
        <v>15</v>
      </c>
      <c r="F973">
        <v>201</v>
      </c>
      <c r="G973">
        <v>217</v>
      </c>
      <c r="H973">
        <v>15</v>
      </c>
      <c r="I973">
        <v>1</v>
      </c>
      <c r="J973">
        <v>0.22755841388363099</v>
      </c>
      <c r="L973">
        <v>-1.8541423312082701E-2</v>
      </c>
      <c r="M973">
        <v>1</v>
      </c>
      <c r="O973">
        <v>-1.8541423312082701E-2</v>
      </c>
    </row>
    <row r="974" spans="1:15" hidden="1" x14ac:dyDescent="0.3">
      <c r="A974" t="s">
        <v>38</v>
      </c>
      <c r="B974" t="s">
        <v>324</v>
      </c>
      <c r="C974">
        <v>0</v>
      </c>
      <c r="D974">
        <v>1</v>
      </c>
      <c r="E974">
        <v>15</v>
      </c>
      <c r="F974">
        <v>201</v>
      </c>
      <c r="G974">
        <v>217</v>
      </c>
      <c r="H974">
        <v>15</v>
      </c>
      <c r="I974">
        <v>1</v>
      </c>
      <c r="J974">
        <v>0.22755841388363099</v>
      </c>
      <c r="L974">
        <v>-1.8541423312082701E-2</v>
      </c>
      <c r="M974">
        <v>1</v>
      </c>
      <c r="O974">
        <v>-1.8541423312082701E-2</v>
      </c>
    </row>
    <row r="975" spans="1:15" hidden="1" x14ac:dyDescent="0.3">
      <c r="A975" t="s">
        <v>38</v>
      </c>
      <c r="B975" t="s">
        <v>278</v>
      </c>
      <c r="C975">
        <v>0</v>
      </c>
      <c r="D975">
        <v>2</v>
      </c>
      <c r="E975">
        <v>15</v>
      </c>
      <c r="F975">
        <v>200</v>
      </c>
      <c r="G975">
        <v>217</v>
      </c>
      <c r="H975">
        <v>15</v>
      </c>
      <c r="I975">
        <v>2</v>
      </c>
      <c r="J975">
        <v>0.30590634059779898</v>
      </c>
      <c r="L975">
        <v>-2.62824418784426E-2</v>
      </c>
      <c r="M975">
        <v>1</v>
      </c>
      <c r="O975">
        <v>-2.62824418784426E-2</v>
      </c>
    </row>
    <row r="976" spans="1:15" hidden="1" x14ac:dyDescent="0.3">
      <c r="A976" t="s">
        <v>38</v>
      </c>
      <c r="B976" t="s">
        <v>292</v>
      </c>
      <c r="C976">
        <v>0</v>
      </c>
      <c r="D976">
        <v>1</v>
      </c>
      <c r="E976">
        <v>15</v>
      </c>
      <c r="F976">
        <v>201</v>
      </c>
      <c r="G976">
        <v>217</v>
      </c>
      <c r="H976">
        <v>15</v>
      </c>
      <c r="I976">
        <v>1</v>
      </c>
      <c r="J976">
        <v>0.22755841388363099</v>
      </c>
      <c r="L976">
        <v>-1.8541423312082701E-2</v>
      </c>
      <c r="M976">
        <v>1</v>
      </c>
      <c r="O976">
        <v>-1.8541423312082701E-2</v>
      </c>
    </row>
    <row r="977" spans="1:15" hidden="1" x14ac:dyDescent="0.3">
      <c r="A977" t="s">
        <v>38</v>
      </c>
      <c r="B977" t="s">
        <v>172</v>
      </c>
      <c r="C977">
        <v>0</v>
      </c>
      <c r="D977">
        <v>7</v>
      </c>
      <c r="E977">
        <v>15</v>
      </c>
      <c r="F977">
        <v>195</v>
      </c>
      <c r="G977">
        <v>217</v>
      </c>
      <c r="H977">
        <v>15</v>
      </c>
      <c r="I977">
        <v>7</v>
      </c>
      <c r="J977">
        <v>0.494966265558689</v>
      </c>
      <c r="L977">
        <v>-4.9751859510499402E-2</v>
      </c>
      <c r="M977">
        <v>1</v>
      </c>
      <c r="O977">
        <v>-4.9751859510499402E-2</v>
      </c>
    </row>
    <row r="978" spans="1:15" hidden="1" x14ac:dyDescent="0.3">
      <c r="A978" t="s">
        <v>38</v>
      </c>
      <c r="B978" t="s">
        <v>323</v>
      </c>
      <c r="C978">
        <v>0</v>
      </c>
      <c r="D978">
        <v>1</v>
      </c>
      <c r="E978">
        <v>15</v>
      </c>
      <c r="F978">
        <v>201</v>
      </c>
      <c r="G978">
        <v>217</v>
      </c>
      <c r="H978">
        <v>15</v>
      </c>
      <c r="I978">
        <v>1</v>
      </c>
      <c r="J978">
        <v>0.22755841388363099</v>
      </c>
      <c r="L978">
        <v>-1.8541423312082701E-2</v>
      </c>
      <c r="M978">
        <v>1</v>
      </c>
      <c r="O978">
        <v>-1.8541423312082701E-2</v>
      </c>
    </row>
    <row r="979" spans="1:15" hidden="1" x14ac:dyDescent="0.3">
      <c r="A979" t="s">
        <v>38</v>
      </c>
      <c r="B979" t="s">
        <v>326</v>
      </c>
      <c r="C979">
        <v>0</v>
      </c>
      <c r="D979">
        <v>1</v>
      </c>
      <c r="E979">
        <v>15</v>
      </c>
      <c r="F979">
        <v>201</v>
      </c>
      <c r="G979">
        <v>217</v>
      </c>
      <c r="H979">
        <v>15</v>
      </c>
      <c r="I979">
        <v>1</v>
      </c>
      <c r="J979">
        <v>0.22755841388363099</v>
      </c>
      <c r="L979">
        <v>-1.8541423312082701E-2</v>
      </c>
      <c r="M979">
        <v>1</v>
      </c>
      <c r="O979">
        <v>-1.8541423312082701E-2</v>
      </c>
    </row>
    <row r="980" spans="1:15" hidden="1" x14ac:dyDescent="0.3">
      <c r="A980" t="s">
        <v>38</v>
      </c>
      <c r="B980" t="s">
        <v>325</v>
      </c>
      <c r="C980">
        <v>0</v>
      </c>
      <c r="D980">
        <v>1</v>
      </c>
      <c r="E980">
        <v>15</v>
      </c>
      <c r="F980">
        <v>201</v>
      </c>
      <c r="G980">
        <v>217</v>
      </c>
      <c r="H980">
        <v>15</v>
      </c>
      <c r="I980">
        <v>1</v>
      </c>
      <c r="J980">
        <v>0.22755841388363099</v>
      </c>
      <c r="L980">
        <v>-1.8541423312082701E-2</v>
      </c>
      <c r="M980">
        <v>1</v>
      </c>
      <c r="O980">
        <v>-1.8541423312082701E-2</v>
      </c>
    </row>
    <row r="981" spans="1:15" hidden="1" x14ac:dyDescent="0.3">
      <c r="A981" t="s">
        <v>38</v>
      </c>
      <c r="B981" t="s">
        <v>243</v>
      </c>
      <c r="C981">
        <v>0</v>
      </c>
      <c r="D981">
        <v>9</v>
      </c>
      <c r="E981">
        <v>15</v>
      </c>
      <c r="F981">
        <v>193</v>
      </c>
      <c r="G981">
        <v>217</v>
      </c>
      <c r="H981">
        <v>15</v>
      </c>
      <c r="I981">
        <v>9</v>
      </c>
      <c r="J981">
        <v>0.53911036551789804</v>
      </c>
      <c r="L981">
        <v>-5.6683875050885998E-2</v>
      </c>
      <c r="M981">
        <v>1</v>
      </c>
      <c r="O981">
        <v>-5.6683875050885998E-2</v>
      </c>
    </row>
    <row r="982" spans="1:15" hidden="1" x14ac:dyDescent="0.3">
      <c r="A982" t="s">
        <v>38</v>
      </c>
      <c r="B982" t="s">
        <v>327</v>
      </c>
      <c r="C982">
        <v>0</v>
      </c>
      <c r="D982">
        <v>1</v>
      </c>
      <c r="E982">
        <v>15</v>
      </c>
      <c r="F982">
        <v>201</v>
      </c>
      <c r="G982">
        <v>217</v>
      </c>
      <c r="H982">
        <v>15</v>
      </c>
      <c r="I982">
        <v>1</v>
      </c>
      <c r="J982">
        <v>0.22755841388363099</v>
      </c>
      <c r="L982">
        <v>-1.8541423312082701E-2</v>
      </c>
      <c r="M982">
        <v>1</v>
      </c>
      <c r="O982">
        <v>-1.8541423312082701E-2</v>
      </c>
    </row>
    <row r="983" spans="1:15" x14ac:dyDescent="0.3">
      <c r="A983" t="s">
        <v>38</v>
      </c>
      <c r="B983" t="s">
        <v>174</v>
      </c>
      <c r="C983">
        <v>0</v>
      </c>
      <c r="D983">
        <v>1</v>
      </c>
      <c r="E983">
        <v>15</v>
      </c>
      <c r="F983">
        <v>201</v>
      </c>
      <c r="G983">
        <v>217</v>
      </c>
      <c r="H983">
        <v>15</v>
      </c>
      <c r="I983">
        <v>1</v>
      </c>
      <c r="J983">
        <v>0.22755841388363099</v>
      </c>
      <c r="L983">
        <v>-1.8541423312082701E-2</v>
      </c>
      <c r="M983">
        <v>1</v>
      </c>
      <c r="O983">
        <v>-1.8541423312082701E-2</v>
      </c>
    </row>
    <row r="984" spans="1:15" hidden="1" x14ac:dyDescent="0.3">
      <c r="A984" t="s">
        <v>38</v>
      </c>
      <c r="B984" t="s">
        <v>260</v>
      </c>
      <c r="C984">
        <v>0</v>
      </c>
      <c r="D984">
        <v>2</v>
      </c>
      <c r="E984">
        <v>15</v>
      </c>
      <c r="F984">
        <v>200</v>
      </c>
      <c r="G984">
        <v>217</v>
      </c>
      <c r="H984">
        <v>15</v>
      </c>
      <c r="I984">
        <v>2</v>
      </c>
      <c r="J984">
        <v>0.30590634059779898</v>
      </c>
      <c r="L984">
        <v>-2.62824418784426E-2</v>
      </c>
      <c r="M984">
        <v>1</v>
      </c>
      <c r="O984">
        <v>-2.62824418784426E-2</v>
      </c>
    </row>
    <row r="985" spans="1:15" hidden="1" x14ac:dyDescent="0.3">
      <c r="A985" t="s">
        <v>38</v>
      </c>
      <c r="B985" t="s">
        <v>280</v>
      </c>
      <c r="C985">
        <v>0</v>
      </c>
      <c r="D985">
        <v>1</v>
      </c>
      <c r="E985">
        <v>15</v>
      </c>
      <c r="F985">
        <v>201</v>
      </c>
      <c r="G985">
        <v>217</v>
      </c>
      <c r="H985">
        <v>15</v>
      </c>
      <c r="I985">
        <v>1</v>
      </c>
      <c r="J985">
        <v>0.22755841388363099</v>
      </c>
      <c r="L985">
        <v>-1.8541423312082701E-2</v>
      </c>
      <c r="M985">
        <v>1</v>
      </c>
      <c r="O985">
        <v>-1.8541423312082701E-2</v>
      </c>
    </row>
    <row r="986" spans="1:15" hidden="1" x14ac:dyDescent="0.3">
      <c r="A986" t="s">
        <v>38</v>
      </c>
      <c r="B986" t="s">
        <v>318</v>
      </c>
      <c r="C986">
        <v>0</v>
      </c>
      <c r="D986">
        <v>4</v>
      </c>
      <c r="E986">
        <v>15</v>
      </c>
      <c r="F986">
        <v>198</v>
      </c>
      <c r="G986">
        <v>217</v>
      </c>
      <c r="H986">
        <v>15</v>
      </c>
      <c r="I986">
        <v>4</v>
      </c>
      <c r="J986">
        <v>0.403333996038028</v>
      </c>
      <c r="L986">
        <v>-3.7343080319489803E-2</v>
      </c>
      <c r="M986">
        <v>1</v>
      </c>
      <c r="O986">
        <v>-3.7343080319489803E-2</v>
      </c>
    </row>
    <row r="987" spans="1:15" hidden="1" x14ac:dyDescent="0.3">
      <c r="A987" t="s">
        <v>38</v>
      </c>
      <c r="B987" t="s">
        <v>244</v>
      </c>
      <c r="C987">
        <v>0</v>
      </c>
      <c r="D987">
        <v>11</v>
      </c>
      <c r="E987">
        <v>15</v>
      </c>
      <c r="F987">
        <v>191</v>
      </c>
      <c r="G987">
        <v>217</v>
      </c>
      <c r="H987">
        <v>15</v>
      </c>
      <c r="I987">
        <v>11</v>
      </c>
      <c r="J987">
        <v>0.57529006059339405</v>
      </c>
      <c r="L987">
        <v>-6.2969852671554402E-2</v>
      </c>
      <c r="M987">
        <v>1</v>
      </c>
      <c r="O987">
        <v>-6.2969852671554402E-2</v>
      </c>
    </row>
    <row r="988" spans="1:15" hidden="1" x14ac:dyDescent="0.3">
      <c r="A988" t="s">
        <v>38</v>
      </c>
      <c r="B988" t="s">
        <v>336</v>
      </c>
      <c r="C988">
        <v>0</v>
      </c>
      <c r="D988">
        <v>3</v>
      </c>
      <c r="E988">
        <v>15</v>
      </c>
      <c r="F988">
        <v>199</v>
      </c>
      <c r="G988">
        <v>217</v>
      </c>
      <c r="H988">
        <v>15</v>
      </c>
      <c r="I988">
        <v>3</v>
      </c>
      <c r="J988">
        <v>0.36059268083810198</v>
      </c>
      <c r="L988">
        <v>-3.2264406854337999E-2</v>
      </c>
      <c r="M988">
        <v>1</v>
      </c>
      <c r="O988">
        <v>-3.2264406854337999E-2</v>
      </c>
    </row>
    <row r="989" spans="1:15" hidden="1" x14ac:dyDescent="0.3">
      <c r="A989" t="s">
        <v>38</v>
      </c>
      <c r="B989" t="s">
        <v>304</v>
      </c>
      <c r="C989">
        <v>0</v>
      </c>
      <c r="D989">
        <v>1</v>
      </c>
      <c r="E989">
        <v>15</v>
      </c>
      <c r="F989">
        <v>201</v>
      </c>
      <c r="G989">
        <v>217</v>
      </c>
      <c r="H989">
        <v>15</v>
      </c>
      <c r="I989">
        <v>1</v>
      </c>
      <c r="J989">
        <v>0.22755841388363099</v>
      </c>
      <c r="L989">
        <v>-1.8541423312082701E-2</v>
      </c>
      <c r="M989">
        <v>1</v>
      </c>
      <c r="O989">
        <v>-1.8541423312082701E-2</v>
      </c>
    </row>
    <row r="990" spans="1:15" hidden="1" x14ac:dyDescent="0.3">
      <c r="A990" t="s">
        <v>38</v>
      </c>
      <c r="B990" t="s">
        <v>270</v>
      </c>
      <c r="C990">
        <v>0</v>
      </c>
      <c r="D990">
        <v>3</v>
      </c>
      <c r="E990">
        <v>15</v>
      </c>
      <c r="F990">
        <v>199</v>
      </c>
      <c r="G990">
        <v>217</v>
      </c>
      <c r="H990">
        <v>15</v>
      </c>
      <c r="I990">
        <v>3</v>
      </c>
      <c r="J990">
        <v>0.36059268083810198</v>
      </c>
      <c r="L990">
        <v>-3.2264406854337999E-2</v>
      </c>
      <c r="M990">
        <v>1</v>
      </c>
      <c r="O990">
        <v>-3.2264406854337999E-2</v>
      </c>
    </row>
    <row r="991" spans="1:15" x14ac:dyDescent="0.3">
      <c r="A991" t="s">
        <v>38</v>
      </c>
      <c r="B991" t="s">
        <v>257</v>
      </c>
      <c r="C991">
        <v>0</v>
      </c>
      <c r="D991">
        <v>3</v>
      </c>
      <c r="E991">
        <v>15</v>
      </c>
      <c r="F991">
        <v>199</v>
      </c>
      <c r="G991">
        <v>217</v>
      </c>
      <c r="H991">
        <v>15</v>
      </c>
      <c r="I991">
        <v>3</v>
      </c>
      <c r="J991">
        <v>0.36059268083810198</v>
      </c>
      <c r="L991">
        <v>-3.2264406854337999E-2</v>
      </c>
      <c r="M991">
        <v>1</v>
      </c>
      <c r="O991">
        <v>-3.2264406854337999E-2</v>
      </c>
    </row>
    <row r="992" spans="1:15" hidden="1" x14ac:dyDescent="0.3">
      <c r="A992" t="s">
        <v>38</v>
      </c>
      <c r="B992" t="s">
        <v>307</v>
      </c>
      <c r="C992">
        <v>0</v>
      </c>
      <c r="D992">
        <v>1</v>
      </c>
      <c r="E992">
        <v>15</v>
      </c>
      <c r="F992">
        <v>201</v>
      </c>
      <c r="G992">
        <v>217</v>
      </c>
      <c r="H992">
        <v>15</v>
      </c>
      <c r="I992">
        <v>1</v>
      </c>
      <c r="J992">
        <v>0.22755841388363099</v>
      </c>
      <c r="L992">
        <v>-1.8541423312082701E-2</v>
      </c>
      <c r="M992">
        <v>1</v>
      </c>
      <c r="O992">
        <v>-1.8541423312082701E-2</v>
      </c>
    </row>
    <row r="993" spans="1:15" hidden="1" x14ac:dyDescent="0.3">
      <c r="A993" t="s">
        <v>38</v>
      </c>
      <c r="B993" t="s">
        <v>286</v>
      </c>
      <c r="C993">
        <v>0</v>
      </c>
      <c r="D993">
        <v>1</v>
      </c>
      <c r="E993">
        <v>15</v>
      </c>
      <c r="F993">
        <v>201</v>
      </c>
      <c r="G993">
        <v>217</v>
      </c>
      <c r="H993">
        <v>15</v>
      </c>
      <c r="I993">
        <v>1</v>
      </c>
      <c r="J993">
        <v>0.22755841388363099</v>
      </c>
      <c r="L993">
        <v>-1.8541423312082701E-2</v>
      </c>
      <c r="M993">
        <v>1</v>
      </c>
      <c r="O993">
        <v>-1.8541423312082701E-2</v>
      </c>
    </row>
    <row r="994" spans="1:15" hidden="1" x14ac:dyDescent="0.3">
      <c r="A994" t="s">
        <v>38</v>
      </c>
      <c r="B994" t="s">
        <v>198</v>
      </c>
      <c r="C994">
        <v>0</v>
      </c>
      <c r="D994">
        <v>2</v>
      </c>
      <c r="E994">
        <v>15</v>
      </c>
      <c r="F994">
        <v>200</v>
      </c>
      <c r="G994">
        <v>217</v>
      </c>
      <c r="H994">
        <v>15</v>
      </c>
      <c r="I994">
        <v>2</v>
      </c>
      <c r="J994">
        <v>0.30590634059779898</v>
      </c>
      <c r="L994">
        <v>-2.62824418784426E-2</v>
      </c>
      <c r="M994">
        <v>1</v>
      </c>
      <c r="O994">
        <v>-2.62824418784426E-2</v>
      </c>
    </row>
    <row r="995" spans="1:15" hidden="1" x14ac:dyDescent="0.3">
      <c r="A995" t="s">
        <v>38</v>
      </c>
      <c r="B995" t="s">
        <v>289</v>
      </c>
      <c r="C995">
        <v>0</v>
      </c>
      <c r="D995">
        <v>1</v>
      </c>
      <c r="E995">
        <v>15</v>
      </c>
      <c r="F995">
        <v>201</v>
      </c>
      <c r="G995">
        <v>217</v>
      </c>
      <c r="H995">
        <v>15</v>
      </c>
      <c r="I995">
        <v>1</v>
      </c>
      <c r="J995">
        <v>0.22755841388363099</v>
      </c>
      <c r="L995">
        <v>-1.8541423312082701E-2</v>
      </c>
      <c r="M995">
        <v>1</v>
      </c>
      <c r="O995">
        <v>-1.8541423312082701E-2</v>
      </c>
    </row>
    <row r="996" spans="1:15" hidden="1" x14ac:dyDescent="0.3">
      <c r="A996" t="s">
        <v>38</v>
      </c>
      <c r="B996" t="s">
        <v>282</v>
      </c>
      <c r="C996">
        <v>0</v>
      </c>
      <c r="D996">
        <v>1</v>
      </c>
      <c r="E996">
        <v>15</v>
      </c>
      <c r="F996">
        <v>201</v>
      </c>
      <c r="G996">
        <v>217</v>
      </c>
      <c r="H996">
        <v>15</v>
      </c>
      <c r="I996">
        <v>1</v>
      </c>
      <c r="J996">
        <v>0.22755841388363099</v>
      </c>
      <c r="L996">
        <v>-1.8541423312082701E-2</v>
      </c>
      <c r="M996">
        <v>1</v>
      </c>
      <c r="O996">
        <v>-1.8541423312082701E-2</v>
      </c>
    </row>
    <row r="997" spans="1:15" hidden="1" x14ac:dyDescent="0.3">
      <c r="A997" t="s">
        <v>38</v>
      </c>
      <c r="B997" t="s">
        <v>291</v>
      </c>
      <c r="C997">
        <v>0</v>
      </c>
      <c r="D997">
        <v>1</v>
      </c>
      <c r="E997">
        <v>15</v>
      </c>
      <c r="F997">
        <v>201</v>
      </c>
      <c r="G997">
        <v>217</v>
      </c>
      <c r="H997">
        <v>15</v>
      </c>
      <c r="I997">
        <v>1</v>
      </c>
      <c r="J997">
        <v>0.22755841388363099</v>
      </c>
      <c r="L997">
        <v>-1.8541423312082701E-2</v>
      </c>
      <c r="M997">
        <v>1</v>
      </c>
      <c r="O997">
        <v>-1.8541423312082701E-2</v>
      </c>
    </row>
    <row r="998" spans="1:15" hidden="1" x14ac:dyDescent="0.3">
      <c r="A998" t="s">
        <v>40</v>
      </c>
      <c r="B998" t="s">
        <v>314</v>
      </c>
      <c r="C998">
        <v>0</v>
      </c>
      <c r="D998">
        <v>1</v>
      </c>
      <c r="E998">
        <v>85</v>
      </c>
      <c r="F998">
        <v>131</v>
      </c>
      <c r="G998">
        <v>217</v>
      </c>
      <c r="H998">
        <v>85</v>
      </c>
      <c r="I998">
        <v>1</v>
      </c>
      <c r="J998">
        <v>0.45916243629551901</v>
      </c>
      <c r="L998">
        <v>-5.4600374521312202E-2</v>
      </c>
      <c r="M998">
        <v>1</v>
      </c>
      <c r="O998">
        <v>-5.4600374521312202E-2</v>
      </c>
    </row>
    <row r="999" spans="1:15" hidden="1" x14ac:dyDescent="0.3">
      <c r="A999" t="s">
        <v>40</v>
      </c>
      <c r="B999" t="s">
        <v>310</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40</v>
      </c>
      <c r="B1000" t="s">
        <v>362</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40</v>
      </c>
      <c r="B1001" t="s">
        <v>363</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40</v>
      </c>
      <c r="B1002" t="s">
        <v>305</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40</v>
      </c>
      <c r="B1003" t="s">
        <v>342</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40</v>
      </c>
      <c r="B1004" t="s">
        <v>334</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40</v>
      </c>
      <c r="B1005" t="s">
        <v>300</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40</v>
      </c>
      <c r="B1006" t="s">
        <v>255</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40</v>
      </c>
      <c r="B1007" t="s">
        <v>249</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40</v>
      </c>
      <c r="B1008" t="s">
        <v>308</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40</v>
      </c>
      <c r="B1009" t="s">
        <v>319</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40</v>
      </c>
      <c r="B1010" t="s">
        <v>245</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40</v>
      </c>
      <c r="B1011" t="s">
        <v>240</v>
      </c>
      <c r="C1011">
        <v>0</v>
      </c>
      <c r="D1011">
        <v>28</v>
      </c>
      <c r="E1011">
        <v>85</v>
      </c>
      <c r="F1011">
        <v>104</v>
      </c>
      <c r="G1011">
        <v>217</v>
      </c>
      <c r="H1011">
        <v>85</v>
      </c>
      <c r="I1011">
        <v>28</v>
      </c>
      <c r="J1011">
        <v>0.96131678825245903</v>
      </c>
      <c r="L1011">
        <v>-0.30886636063475997</v>
      </c>
      <c r="M1011" s="9">
        <v>3.3778556673589499E-7</v>
      </c>
      <c r="O1011">
        <v>-0.30886636063475997</v>
      </c>
    </row>
    <row r="1012" spans="1:15" hidden="1" x14ac:dyDescent="0.3">
      <c r="A1012" t="s">
        <v>40</v>
      </c>
      <c r="B1012" t="s">
        <v>343</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40</v>
      </c>
      <c r="B1013" t="s">
        <v>344</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40</v>
      </c>
      <c r="B1014" t="s">
        <v>276</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40</v>
      </c>
      <c r="B1015" t="s">
        <v>333</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40</v>
      </c>
      <c r="B1016" t="s">
        <v>254</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40</v>
      </c>
      <c r="B1017" t="s">
        <v>320</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40</v>
      </c>
      <c r="B1018" t="s">
        <v>322</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40</v>
      </c>
      <c r="B1019" t="s">
        <v>303</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40</v>
      </c>
      <c r="B1020" t="s">
        <v>302</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40</v>
      </c>
      <c r="B1021" t="s">
        <v>147</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40</v>
      </c>
      <c r="B1022" t="s">
        <v>284</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40</v>
      </c>
      <c r="B1023" t="s">
        <v>301</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40</v>
      </c>
      <c r="B1024" t="s">
        <v>290</v>
      </c>
      <c r="C1024">
        <v>0</v>
      </c>
      <c r="D1024">
        <v>1</v>
      </c>
      <c r="E1024">
        <v>85</v>
      </c>
      <c r="F1024">
        <v>131</v>
      </c>
      <c r="G1024">
        <v>217</v>
      </c>
      <c r="H1024">
        <v>85</v>
      </c>
      <c r="I1024">
        <v>1</v>
      </c>
      <c r="J1024">
        <v>0.45916243629551901</v>
      </c>
      <c r="L1024">
        <v>-5.4600374521312202E-2</v>
      </c>
      <c r="M1024">
        <v>1</v>
      </c>
      <c r="O1024">
        <v>-5.4600374521312202E-2</v>
      </c>
    </row>
    <row r="1025" spans="1:15" hidden="1" x14ac:dyDescent="0.3">
      <c r="A1025" t="s">
        <v>40</v>
      </c>
      <c r="B1025" t="s">
        <v>212</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40</v>
      </c>
      <c r="B1026" t="s">
        <v>250</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40</v>
      </c>
      <c r="B1027" t="s">
        <v>246</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40</v>
      </c>
      <c r="B1028" t="s">
        <v>347</v>
      </c>
      <c r="C1028">
        <v>0</v>
      </c>
      <c r="D1028">
        <v>1</v>
      </c>
      <c r="E1028">
        <v>85</v>
      </c>
      <c r="F1028">
        <v>131</v>
      </c>
      <c r="G1028">
        <v>217</v>
      </c>
      <c r="H1028">
        <v>85</v>
      </c>
      <c r="I1028">
        <v>1</v>
      </c>
      <c r="J1028">
        <v>0.45916243629551901</v>
      </c>
      <c r="L1028">
        <v>-5.4600374521312202E-2</v>
      </c>
      <c r="M1028">
        <v>1</v>
      </c>
      <c r="O1028">
        <v>-5.4600374521312202E-2</v>
      </c>
    </row>
    <row r="1029" spans="1:15" hidden="1" x14ac:dyDescent="0.3">
      <c r="A1029" t="s">
        <v>40</v>
      </c>
      <c r="B1029" t="s">
        <v>279</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40</v>
      </c>
      <c r="B1030" t="s">
        <v>341</v>
      </c>
      <c r="C1030">
        <v>0</v>
      </c>
      <c r="D1030">
        <v>1</v>
      </c>
      <c r="E1030">
        <v>85</v>
      </c>
      <c r="F1030">
        <v>131</v>
      </c>
      <c r="G1030">
        <v>217</v>
      </c>
      <c r="H1030">
        <v>85</v>
      </c>
      <c r="I1030">
        <v>1</v>
      </c>
      <c r="J1030">
        <v>0.45916243629551901</v>
      </c>
      <c r="L1030">
        <v>-5.4600374521312202E-2</v>
      </c>
      <c r="M1030">
        <v>1</v>
      </c>
      <c r="O1030">
        <v>-5.4600374521312202E-2</v>
      </c>
    </row>
    <row r="1031" spans="1:15" x14ac:dyDescent="0.3">
      <c r="A1031" t="s">
        <v>40</v>
      </c>
      <c r="B1031" t="s">
        <v>169</v>
      </c>
      <c r="C1031">
        <v>0</v>
      </c>
      <c r="D1031">
        <v>2</v>
      </c>
      <c r="E1031">
        <v>85</v>
      </c>
      <c r="F1031">
        <v>130</v>
      </c>
      <c r="G1031">
        <v>217</v>
      </c>
      <c r="H1031">
        <v>85</v>
      </c>
      <c r="I1031">
        <v>2</v>
      </c>
      <c r="J1031">
        <v>0.58072447070518995</v>
      </c>
      <c r="L1031">
        <v>-7.7395955302009406E-2</v>
      </c>
      <c r="M1031">
        <v>0.52124935995903698</v>
      </c>
      <c r="O1031">
        <v>-7.7395955302009406E-2</v>
      </c>
    </row>
    <row r="1032" spans="1:15" x14ac:dyDescent="0.3">
      <c r="A1032" t="s">
        <v>40</v>
      </c>
      <c r="B1032" t="s">
        <v>175</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40</v>
      </c>
      <c r="B1033" t="s">
        <v>340</v>
      </c>
      <c r="C1033">
        <v>0</v>
      </c>
      <c r="D1033">
        <v>1</v>
      </c>
      <c r="E1033">
        <v>85</v>
      </c>
      <c r="F1033">
        <v>131</v>
      </c>
      <c r="G1033">
        <v>217</v>
      </c>
      <c r="H1033">
        <v>85</v>
      </c>
      <c r="I1033">
        <v>1</v>
      </c>
      <c r="J1033">
        <v>0.45916243629551901</v>
      </c>
      <c r="L1033">
        <v>-5.4600374521312202E-2</v>
      </c>
      <c r="M1033">
        <v>1</v>
      </c>
      <c r="O1033">
        <v>-5.4600374521312202E-2</v>
      </c>
    </row>
    <row r="1034" spans="1:15" hidden="1" x14ac:dyDescent="0.3">
      <c r="A1034" t="s">
        <v>40</v>
      </c>
      <c r="B1034" t="s">
        <v>190</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40</v>
      </c>
      <c r="B1035" t="s">
        <v>346</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40</v>
      </c>
      <c r="B1036" t="s">
        <v>148</v>
      </c>
      <c r="C1036">
        <v>0</v>
      </c>
      <c r="D1036">
        <v>2</v>
      </c>
      <c r="E1036">
        <v>85</v>
      </c>
      <c r="F1036">
        <v>130</v>
      </c>
      <c r="G1036">
        <v>217</v>
      </c>
      <c r="H1036">
        <v>85</v>
      </c>
      <c r="I1036">
        <v>2</v>
      </c>
      <c r="J1036">
        <v>0.58072447070518995</v>
      </c>
      <c r="L1036">
        <v>-7.7395955302009406E-2</v>
      </c>
      <c r="M1036">
        <v>0.52124935995903698</v>
      </c>
      <c r="O1036">
        <v>-7.7395955302009406E-2</v>
      </c>
    </row>
    <row r="1037" spans="1:15" hidden="1" x14ac:dyDescent="0.3">
      <c r="A1037" t="s">
        <v>40</v>
      </c>
      <c r="B1037" t="s">
        <v>217</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40</v>
      </c>
      <c r="B1038" t="s">
        <v>348</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40</v>
      </c>
      <c r="B1039" t="s">
        <v>349</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40</v>
      </c>
      <c r="B1040" t="s">
        <v>350</v>
      </c>
      <c r="C1040">
        <v>0</v>
      </c>
      <c r="D1040">
        <v>1</v>
      </c>
      <c r="E1040">
        <v>85</v>
      </c>
      <c r="F1040">
        <v>131</v>
      </c>
      <c r="G1040">
        <v>217</v>
      </c>
      <c r="H1040">
        <v>85</v>
      </c>
      <c r="I1040">
        <v>1</v>
      </c>
      <c r="J1040">
        <v>0.45916243629551901</v>
      </c>
      <c r="L1040">
        <v>-5.4600374521312202E-2</v>
      </c>
      <c r="M1040">
        <v>1</v>
      </c>
      <c r="O1040">
        <v>-5.4600374521312202E-2</v>
      </c>
    </row>
    <row r="1041" spans="1:15" hidden="1" x14ac:dyDescent="0.3">
      <c r="A1041" t="s">
        <v>40</v>
      </c>
      <c r="B1041" t="s">
        <v>218</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40</v>
      </c>
      <c r="B1042" t="s">
        <v>358</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40</v>
      </c>
      <c r="B1043" t="s">
        <v>288</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40</v>
      </c>
      <c r="B1044" t="s">
        <v>306</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40</v>
      </c>
      <c r="B1045" t="s">
        <v>345</v>
      </c>
      <c r="C1045">
        <v>0</v>
      </c>
      <c r="D1045">
        <v>1</v>
      </c>
      <c r="E1045">
        <v>85</v>
      </c>
      <c r="F1045">
        <v>131</v>
      </c>
      <c r="G1045">
        <v>217</v>
      </c>
      <c r="H1045">
        <v>85</v>
      </c>
      <c r="I1045">
        <v>1</v>
      </c>
      <c r="J1045">
        <v>0.45916243629551901</v>
      </c>
      <c r="L1045">
        <v>-5.4600374521312202E-2</v>
      </c>
      <c r="M1045">
        <v>1</v>
      </c>
      <c r="O1045">
        <v>-5.4600374521312202E-2</v>
      </c>
    </row>
    <row r="1046" spans="1:15" x14ac:dyDescent="0.3">
      <c r="A1046" t="s">
        <v>40</v>
      </c>
      <c r="B1046" t="s">
        <v>152</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40</v>
      </c>
      <c r="B1047" t="s">
        <v>278</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40</v>
      </c>
      <c r="B1048" t="s">
        <v>327</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40</v>
      </c>
      <c r="B1049" t="s">
        <v>304</v>
      </c>
      <c r="C1049">
        <v>0</v>
      </c>
      <c r="D1049">
        <v>1</v>
      </c>
      <c r="E1049">
        <v>85</v>
      </c>
      <c r="F1049">
        <v>131</v>
      </c>
      <c r="G1049">
        <v>217</v>
      </c>
      <c r="H1049">
        <v>85</v>
      </c>
      <c r="I1049">
        <v>1</v>
      </c>
      <c r="J1049">
        <v>0.45916243629551901</v>
      </c>
      <c r="L1049">
        <v>-5.4600374521312202E-2</v>
      </c>
      <c r="M1049">
        <v>1</v>
      </c>
      <c r="O1049">
        <v>-5.4600374521312202E-2</v>
      </c>
    </row>
    <row r="1050" spans="1:15" x14ac:dyDescent="0.3">
      <c r="A1050" t="s">
        <v>40</v>
      </c>
      <c r="B1050" t="s">
        <v>257</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40</v>
      </c>
      <c r="B1051" t="s">
        <v>307</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40</v>
      </c>
      <c r="B1052" t="s">
        <v>286</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40</v>
      </c>
      <c r="B1053" t="s">
        <v>289</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42</v>
      </c>
      <c r="B1054" t="s">
        <v>314</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42</v>
      </c>
      <c r="B1055" t="s">
        <v>342</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42</v>
      </c>
      <c r="B1056" t="s">
        <v>334</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42</v>
      </c>
      <c r="B1057" t="s">
        <v>300</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42</v>
      </c>
      <c r="B1058" t="s">
        <v>255</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42</v>
      </c>
      <c r="B1059" t="s">
        <v>308</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42</v>
      </c>
      <c r="B1060" t="s">
        <v>319</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42</v>
      </c>
      <c r="B1061" t="s">
        <v>343</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42</v>
      </c>
      <c r="B1062" t="s">
        <v>344</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42</v>
      </c>
      <c r="B1063" t="s">
        <v>303</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42</v>
      </c>
      <c r="B1064" t="s">
        <v>302</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42</v>
      </c>
      <c r="B1065" t="s">
        <v>147</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42</v>
      </c>
      <c r="B1066" t="s">
        <v>284</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42</v>
      </c>
      <c r="B1067" t="s">
        <v>301</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42</v>
      </c>
      <c r="B1068" t="s">
        <v>290</v>
      </c>
      <c r="C1068">
        <v>0</v>
      </c>
      <c r="D1068">
        <v>1</v>
      </c>
      <c r="E1068">
        <v>118</v>
      </c>
      <c r="F1068">
        <v>98</v>
      </c>
      <c r="G1068">
        <v>217</v>
      </c>
      <c r="H1068">
        <v>118</v>
      </c>
      <c r="I1068">
        <v>1</v>
      </c>
      <c r="J1068">
        <v>0.51528072307306105</v>
      </c>
      <c r="L1068">
        <v>-7.4284213713502301E-2</v>
      </c>
      <c r="M1068">
        <v>0.456221198156682</v>
      </c>
      <c r="O1068">
        <v>-7.4284213713502301E-2</v>
      </c>
    </row>
    <row r="1069" spans="1:15" hidden="1" x14ac:dyDescent="0.3">
      <c r="A1069" t="s">
        <v>42</v>
      </c>
      <c r="B1069" t="s">
        <v>212</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42</v>
      </c>
      <c r="B1070" t="s">
        <v>246</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42</v>
      </c>
      <c r="B1071" t="s">
        <v>347</v>
      </c>
      <c r="C1071">
        <v>0</v>
      </c>
      <c r="D1071">
        <v>1</v>
      </c>
      <c r="E1071">
        <v>118</v>
      </c>
      <c r="F1071">
        <v>98</v>
      </c>
      <c r="G1071">
        <v>217</v>
      </c>
      <c r="H1071">
        <v>118</v>
      </c>
      <c r="I1071">
        <v>1</v>
      </c>
      <c r="J1071">
        <v>0.51528072307306105</v>
      </c>
      <c r="L1071">
        <v>-7.4284213713502301E-2</v>
      </c>
      <c r="M1071">
        <v>0.456221198156682</v>
      </c>
      <c r="O1071">
        <v>-7.4284213713502301E-2</v>
      </c>
    </row>
    <row r="1072" spans="1:15" hidden="1" x14ac:dyDescent="0.3">
      <c r="A1072" t="s">
        <v>42</v>
      </c>
      <c r="B1072" t="s">
        <v>153</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42</v>
      </c>
      <c r="B1073" t="s">
        <v>262</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42</v>
      </c>
      <c r="B1074" t="s">
        <v>321</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42</v>
      </c>
      <c r="B1075" t="s">
        <v>341</v>
      </c>
      <c r="C1075">
        <v>0</v>
      </c>
      <c r="D1075">
        <v>1</v>
      </c>
      <c r="E1075">
        <v>118</v>
      </c>
      <c r="F1075">
        <v>98</v>
      </c>
      <c r="G1075">
        <v>217</v>
      </c>
      <c r="H1075">
        <v>118</v>
      </c>
      <c r="I1075">
        <v>1</v>
      </c>
      <c r="J1075">
        <v>0.51528072307306105</v>
      </c>
      <c r="L1075">
        <v>-7.4284213713502301E-2</v>
      </c>
      <c r="M1075">
        <v>0.456221198156682</v>
      </c>
      <c r="O1075">
        <v>-7.4284213713502301E-2</v>
      </c>
    </row>
    <row r="1076" spans="1:15" hidden="1" x14ac:dyDescent="0.3">
      <c r="A1076" t="s">
        <v>42</v>
      </c>
      <c r="B1076" t="s">
        <v>352</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42</v>
      </c>
      <c r="B1077" t="s">
        <v>340</v>
      </c>
      <c r="C1077">
        <v>0</v>
      </c>
      <c r="D1077">
        <v>1</v>
      </c>
      <c r="E1077">
        <v>118</v>
      </c>
      <c r="F1077">
        <v>98</v>
      </c>
      <c r="G1077">
        <v>217</v>
      </c>
      <c r="H1077">
        <v>118</v>
      </c>
      <c r="I1077">
        <v>1</v>
      </c>
      <c r="J1077">
        <v>0.51528072307306105</v>
      </c>
      <c r="L1077">
        <v>-7.4284213713502301E-2</v>
      </c>
      <c r="M1077">
        <v>0.456221198156682</v>
      </c>
      <c r="O1077">
        <v>-7.4284213713502301E-2</v>
      </c>
    </row>
    <row r="1078" spans="1:15" hidden="1" x14ac:dyDescent="0.3">
      <c r="A1078" t="s">
        <v>42</v>
      </c>
      <c r="B1078" t="s">
        <v>190</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42</v>
      </c>
      <c r="B1079" t="s">
        <v>346</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42</v>
      </c>
      <c r="B1080" t="s">
        <v>148</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42</v>
      </c>
      <c r="B1081" t="s">
        <v>348</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42</v>
      </c>
      <c r="B1082" t="s">
        <v>349</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42</v>
      </c>
      <c r="B1083" t="s">
        <v>350</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42</v>
      </c>
      <c r="B1084" t="s">
        <v>306</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42</v>
      </c>
      <c r="B1085" t="s">
        <v>345</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42</v>
      </c>
      <c r="B1086" t="s">
        <v>313</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42</v>
      </c>
      <c r="B1087" t="s">
        <v>311</v>
      </c>
      <c r="C1087">
        <v>0</v>
      </c>
      <c r="D1087">
        <v>1</v>
      </c>
      <c r="E1087">
        <v>118</v>
      </c>
      <c r="F1087">
        <v>98</v>
      </c>
      <c r="G1087">
        <v>217</v>
      </c>
      <c r="H1087">
        <v>118</v>
      </c>
      <c r="I1087">
        <v>1</v>
      </c>
      <c r="J1087">
        <v>0.51528072307306105</v>
      </c>
      <c r="L1087">
        <v>-7.4284213713502301E-2</v>
      </c>
      <c r="M1087">
        <v>0.456221198156682</v>
      </c>
      <c r="O1087">
        <v>-7.4284213713502301E-2</v>
      </c>
    </row>
    <row r="1088" spans="1:15" hidden="1" x14ac:dyDescent="0.3">
      <c r="A1088" t="s">
        <v>42</v>
      </c>
      <c r="B1088" t="s">
        <v>213</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42</v>
      </c>
      <c r="B1089" t="s">
        <v>281</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42</v>
      </c>
      <c r="B1090" t="s">
        <v>324</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42</v>
      </c>
      <c r="B1091" t="s">
        <v>292</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42</v>
      </c>
      <c r="B1092" t="s">
        <v>323</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42</v>
      </c>
      <c r="B1093" t="s">
        <v>326</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42</v>
      </c>
      <c r="B1094" t="s">
        <v>325</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42</v>
      </c>
      <c r="B1095" t="s">
        <v>304</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42</v>
      </c>
      <c r="B1096" t="s">
        <v>307</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42</v>
      </c>
      <c r="B1097" t="s">
        <v>198</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42</v>
      </c>
      <c r="B1098" t="s">
        <v>289</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42</v>
      </c>
      <c r="B1099" t="s">
        <v>291</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44</v>
      </c>
      <c r="B1100" t="s">
        <v>314</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44</v>
      </c>
      <c r="B1101" t="s">
        <v>357</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44</v>
      </c>
      <c r="B1102" t="s">
        <v>356</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44</v>
      </c>
      <c r="B1103" t="s">
        <v>332</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44</v>
      </c>
      <c r="B1104" t="s">
        <v>355</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44</v>
      </c>
      <c r="B1105" t="s">
        <v>335</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44</v>
      </c>
      <c r="B1106" t="s">
        <v>317</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44</v>
      </c>
      <c r="B1107" t="s">
        <v>9</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44</v>
      </c>
      <c r="B1108" t="s">
        <v>362</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44</v>
      </c>
      <c r="B1109" t="s">
        <v>354</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44</v>
      </c>
      <c r="B1110" t="s">
        <v>353</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44</v>
      </c>
      <c r="B1111" t="s">
        <v>363</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44</v>
      </c>
      <c r="B1112" t="s">
        <v>305</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44</v>
      </c>
      <c r="B1113" t="s">
        <v>339</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44</v>
      </c>
      <c r="B1114" t="s">
        <v>248</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44</v>
      </c>
      <c r="B1115" t="s">
        <v>342</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44</v>
      </c>
      <c r="B1116" t="s">
        <v>241</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44</v>
      </c>
      <c r="B1117" t="s">
        <v>334</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44</v>
      </c>
      <c r="B1118" t="s">
        <v>300</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44</v>
      </c>
      <c r="B1119" t="s">
        <v>265</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44</v>
      </c>
      <c r="B1120" t="s">
        <v>249</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44</v>
      </c>
      <c r="B1121" t="s">
        <v>308</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44</v>
      </c>
      <c r="B1122" t="s">
        <v>319</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44</v>
      </c>
      <c r="B1123" t="s">
        <v>245</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44</v>
      </c>
      <c r="B1124" t="s">
        <v>240</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44</v>
      </c>
      <c r="B1125" t="s">
        <v>343</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44</v>
      </c>
      <c r="B1126" t="s">
        <v>258</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44</v>
      </c>
      <c r="B1127" t="s">
        <v>344</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44</v>
      </c>
      <c r="B1128" t="s">
        <v>276</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44</v>
      </c>
      <c r="B1129" t="s">
        <v>333</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44</v>
      </c>
      <c r="B1130" t="s">
        <v>254</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44</v>
      </c>
      <c r="B1131" t="s">
        <v>320</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44</v>
      </c>
      <c r="B1132" t="s">
        <v>275</v>
      </c>
      <c r="C1132">
        <v>0</v>
      </c>
      <c r="D1132">
        <v>11</v>
      </c>
      <c r="E1132">
        <v>22</v>
      </c>
      <c r="F1132">
        <v>184</v>
      </c>
      <c r="G1132">
        <v>217</v>
      </c>
      <c r="H1132">
        <v>22</v>
      </c>
      <c r="I1132">
        <v>11</v>
      </c>
      <c r="J1132">
        <v>0.64551524768497104</v>
      </c>
      <c r="L1132">
        <v>-7.7616984711198697E-2</v>
      </c>
      <c r="M1132">
        <v>0.608160225198771</v>
      </c>
      <c r="O1132">
        <v>-7.7616984711198697E-2</v>
      </c>
    </row>
    <row r="1133" spans="1:15" hidden="1" x14ac:dyDescent="0.3">
      <c r="A1133" t="s">
        <v>44</v>
      </c>
      <c r="B1133" t="s">
        <v>221</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44</v>
      </c>
      <c r="B1134" t="s">
        <v>322</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44</v>
      </c>
      <c r="B1135" t="s">
        <v>303</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44</v>
      </c>
      <c r="B1136" t="s">
        <v>302</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44</v>
      </c>
      <c r="B1137" t="s">
        <v>147</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44</v>
      </c>
      <c r="B1138" t="s">
        <v>284</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44</v>
      </c>
      <c r="B1139" t="s">
        <v>299</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44</v>
      </c>
      <c r="B1140" t="s">
        <v>301</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44</v>
      </c>
      <c r="B1141" t="s">
        <v>290</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44</v>
      </c>
      <c r="B1142" t="s">
        <v>337</v>
      </c>
      <c r="C1142">
        <v>0</v>
      </c>
      <c r="D1142">
        <v>3</v>
      </c>
      <c r="E1142">
        <v>22</v>
      </c>
      <c r="F1142">
        <v>192</v>
      </c>
      <c r="G1142">
        <v>217</v>
      </c>
      <c r="H1142">
        <v>22</v>
      </c>
      <c r="I1142">
        <v>3</v>
      </c>
      <c r="J1142">
        <v>0.418184888938118</v>
      </c>
      <c r="L1142">
        <v>-3.97692843048418E-2</v>
      </c>
      <c r="M1142">
        <v>1</v>
      </c>
      <c r="O1142">
        <v>-3.97692843048418E-2</v>
      </c>
    </row>
    <row r="1143" spans="1:15" hidden="1" x14ac:dyDescent="0.3">
      <c r="A1143" t="s">
        <v>44</v>
      </c>
      <c r="B1143" t="s">
        <v>212</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44</v>
      </c>
      <c r="B1144" t="s">
        <v>250</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44</v>
      </c>
      <c r="B1145" t="s">
        <v>246</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44</v>
      </c>
      <c r="B1146" t="s">
        <v>347</v>
      </c>
      <c r="C1146">
        <v>0</v>
      </c>
      <c r="D1146">
        <v>1</v>
      </c>
      <c r="E1146">
        <v>22</v>
      </c>
      <c r="F1146">
        <v>194</v>
      </c>
      <c r="G1146">
        <v>217</v>
      </c>
      <c r="H1146">
        <v>22</v>
      </c>
      <c r="I1146">
        <v>1</v>
      </c>
      <c r="J1146">
        <v>0.26852657159596099</v>
      </c>
      <c r="L1146">
        <v>-2.2854259755762201E-2</v>
      </c>
      <c r="M1146">
        <v>1</v>
      </c>
      <c r="O1146">
        <v>-2.2854259755762201E-2</v>
      </c>
    </row>
    <row r="1147" spans="1:15" hidden="1" x14ac:dyDescent="0.3">
      <c r="A1147" t="s">
        <v>44</v>
      </c>
      <c r="B1147" t="s">
        <v>219</v>
      </c>
      <c r="C1147">
        <v>0</v>
      </c>
      <c r="D1147">
        <v>4</v>
      </c>
      <c r="E1147">
        <v>22</v>
      </c>
      <c r="F1147">
        <v>191</v>
      </c>
      <c r="G1147">
        <v>217</v>
      </c>
      <c r="H1147">
        <v>22</v>
      </c>
      <c r="I1147">
        <v>4</v>
      </c>
      <c r="J1147">
        <v>0.46494662353884098</v>
      </c>
      <c r="L1147">
        <v>-4.6029284987294201E-2</v>
      </c>
      <c r="M1147">
        <v>1</v>
      </c>
      <c r="O1147">
        <v>-4.6029284987294201E-2</v>
      </c>
    </row>
    <row r="1148" spans="1:15" hidden="1" x14ac:dyDescent="0.3">
      <c r="A1148" t="s">
        <v>44</v>
      </c>
      <c r="B1148" t="s">
        <v>279</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44</v>
      </c>
      <c r="B1149" t="s">
        <v>321</v>
      </c>
      <c r="C1149">
        <v>0</v>
      </c>
      <c r="D1149">
        <v>1</v>
      </c>
      <c r="E1149">
        <v>22</v>
      </c>
      <c r="F1149">
        <v>194</v>
      </c>
      <c r="G1149">
        <v>217</v>
      </c>
      <c r="H1149">
        <v>22</v>
      </c>
      <c r="I1149">
        <v>1</v>
      </c>
      <c r="J1149">
        <v>0.26852657159596099</v>
      </c>
      <c r="L1149">
        <v>-2.2854259755762201E-2</v>
      </c>
      <c r="M1149">
        <v>1</v>
      </c>
      <c r="O1149">
        <v>-2.2854259755762201E-2</v>
      </c>
    </row>
    <row r="1150" spans="1:15" hidden="1" x14ac:dyDescent="0.3">
      <c r="A1150" t="s">
        <v>44</v>
      </c>
      <c r="B1150" t="s">
        <v>215</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44</v>
      </c>
      <c r="B1151" t="s">
        <v>341</v>
      </c>
      <c r="C1151">
        <v>0</v>
      </c>
      <c r="D1151">
        <v>1</v>
      </c>
      <c r="E1151">
        <v>22</v>
      </c>
      <c r="F1151">
        <v>194</v>
      </c>
      <c r="G1151">
        <v>217</v>
      </c>
      <c r="H1151">
        <v>22</v>
      </c>
      <c r="I1151">
        <v>1</v>
      </c>
      <c r="J1151">
        <v>0.26852657159596099</v>
      </c>
      <c r="L1151">
        <v>-2.2854259755762201E-2</v>
      </c>
      <c r="M1151">
        <v>1</v>
      </c>
      <c r="O1151">
        <v>-2.2854259755762201E-2</v>
      </c>
    </row>
    <row r="1152" spans="1:15" hidden="1" x14ac:dyDescent="0.3">
      <c r="A1152" t="s">
        <v>44</v>
      </c>
      <c r="B1152" t="s">
        <v>214</v>
      </c>
      <c r="C1152">
        <v>0</v>
      </c>
      <c r="D1152">
        <v>3</v>
      </c>
      <c r="E1152">
        <v>22</v>
      </c>
      <c r="F1152">
        <v>192</v>
      </c>
      <c r="G1152">
        <v>217</v>
      </c>
      <c r="H1152">
        <v>22</v>
      </c>
      <c r="I1152">
        <v>3</v>
      </c>
      <c r="J1152">
        <v>0.418184888938118</v>
      </c>
      <c r="L1152">
        <v>-3.97692843048418E-2</v>
      </c>
      <c r="M1152">
        <v>1</v>
      </c>
      <c r="O1152">
        <v>-3.97692843048418E-2</v>
      </c>
    </row>
    <row r="1153" spans="1:15" hidden="1" x14ac:dyDescent="0.3">
      <c r="A1153" t="s">
        <v>44</v>
      </c>
      <c r="B1153" t="s">
        <v>352</v>
      </c>
      <c r="C1153">
        <v>0</v>
      </c>
      <c r="D1153">
        <v>1</v>
      </c>
      <c r="E1153">
        <v>22</v>
      </c>
      <c r="F1153">
        <v>194</v>
      </c>
      <c r="G1153">
        <v>217</v>
      </c>
      <c r="H1153">
        <v>22</v>
      </c>
      <c r="I1153">
        <v>1</v>
      </c>
      <c r="J1153">
        <v>0.26852657159596099</v>
      </c>
      <c r="L1153">
        <v>-2.2854259755762201E-2</v>
      </c>
      <c r="M1153">
        <v>1</v>
      </c>
      <c r="O1153">
        <v>-2.2854259755762201E-2</v>
      </c>
    </row>
    <row r="1154" spans="1:15" x14ac:dyDescent="0.3">
      <c r="A1154" t="s">
        <v>44</v>
      </c>
      <c r="B1154" t="s">
        <v>175</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44</v>
      </c>
      <c r="B1155" t="s">
        <v>340</v>
      </c>
      <c r="C1155">
        <v>0</v>
      </c>
      <c r="D1155">
        <v>1</v>
      </c>
      <c r="E1155">
        <v>22</v>
      </c>
      <c r="F1155">
        <v>194</v>
      </c>
      <c r="G1155">
        <v>217</v>
      </c>
      <c r="H1155">
        <v>22</v>
      </c>
      <c r="I1155">
        <v>1</v>
      </c>
      <c r="J1155">
        <v>0.26852657159596099</v>
      </c>
      <c r="L1155">
        <v>-2.2854259755762201E-2</v>
      </c>
      <c r="M1155">
        <v>1</v>
      </c>
      <c r="O1155">
        <v>-2.2854259755762201E-2</v>
      </c>
    </row>
    <row r="1156" spans="1:15" hidden="1" x14ac:dyDescent="0.3">
      <c r="A1156" t="s">
        <v>44</v>
      </c>
      <c r="B1156" t="s">
        <v>190</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44</v>
      </c>
      <c r="B1157" t="s">
        <v>346</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44</v>
      </c>
      <c r="B1158" t="s">
        <v>309</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44</v>
      </c>
      <c r="B1159" t="s">
        <v>148</v>
      </c>
      <c r="C1159">
        <v>0</v>
      </c>
      <c r="D1159">
        <v>2</v>
      </c>
      <c r="E1159">
        <v>22</v>
      </c>
      <c r="F1159">
        <v>193</v>
      </c>
      <c r="G1159">
        <v>217</v>
      </c>
      <c r="H1159">
        <v>22</v>
      </c>
      <c r="I1159">
        <v>2</v>
      </c>
      <c r="J1159">
        <v>0.35738959391717101</v>
      </c>
      <c r="L1159">
        <v>-3.2395881567205298E-2</v>
      </c>
      <c r="M1159">
        <v>1</v>
      </c>
      <c r="O1159">
        <v>-3.2395881567205298E-2</v>
      </c>
    </row>
    <row r="1160" spans="1:15" hidden="1" x14ac:dyDescent="0.3">
      <c r="A1160" t="s">
        <v>44</v>
      </c>
      <c r="B1160" t="s">
        <v>217</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44</v>
      </c>
      <c r="B1161" t="s">
        <v>348</v>
      </c>
      <c r="C1161">
        <v>0</v>
      </c>
      <c r="D1161">
        <v>1</v>
      </c>
      <c r="E1161">
        <v>22</v>
      </c>
      <c r="F1161">
        <v>194</v>
      </c>
      <c r="G1161">
        <v>217</v>
      </c>
      <c r="H1161">
        <v>22</v>
      </c>
      <c r="I1161">
        <v>1</v>
      </c>
      <c r="J1161">
        <v>0.26852657159596099</v>
      </c>
      <c r="L1161">
        <v>-2.2854259755762201E-2</v>
      </c>
      <c r="M1161">
        <v>1</v>
      </c>
      <c r="O1161">
        <v>-2.2854259755762201E-2</v>
      </c>
    </row>
    <row r="1162" spans="1:15" hidden="1" x14ac:dyDescent="0.3">
      <c r="A1162" t="s">
        <v>44</v>
      </c>
      <c r="B1162" t="s">
        <v>222</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44</v>
      </c>
      <c r="B1163" t="s">
        <v>269</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44</v>
      </c>
      <c r="B1164" t="s">
        <v>349</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44</v>
      </c>
      <c r="B1165" t="s">
        <v>274</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44</v>
      </c>
      <c r="B1166" t="s">
        <v>316</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44</v>
      </c>
      <c r="B1167" t="s">
        <v>350</v>
      </c>
      <c r="C1167">
        <v>0</v>
      </c>
      <c r="D1167">
        <v>1</v>
      </c>
      <c r="E1167">
        <v>22</v>
      </c>
      <c r="F1167">
        <v>194</v>
      </c>
      <c r="G1167">
        <v>217</v>
      </c>
      <c r="H1167">
        <v>22</v>
      </c>
      <c r="I1167">
        <v>1</v>
      </c>
      <c r="J1167">
        <v>0.26852657159596099</v>
      </c>
      <c r="L1167">
        <v>-2.2854259755762201E-2</v>
      </c>
      <c r="M1167">
        <v>1</v>
      </c>
      <c r="O1167">
        <v>-2.2854259755762201E-2</v>
      </c>
    </row>
    <row r="1168" spans="1:15" hidden="1" x14ac:dyDescent="0.3">
      <c r="A1168" t="s">
        <v>44</v>
      </c>
      <c r="B1168" t="s">
        <v>218</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44</v>
      </c>
      <c r="B1169" t="s">
        <v>261</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44</v>
      </c>
      <c r="B1170" t="s">
        <v>277</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44</v>
      </c>
      <c r="B1171" t="s">
        <v>251</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44</v>
      </c>
      <c r="B1172" t="s">
        <v>259</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44</v>
      </c>
      <c r="B1173" t="s">
        <v>329</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44</v>
      </c>
      <c r="B1174" t="s">
        <v>360</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44</v>
      </c>
      <c r="B1175" t="s">
        <v>358</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44</v>
      </c>
      <c r="B1176" t="s">
        <v>312</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44</v>
      </c>
      <c r="B1177" t="s">
        <v>361</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44</v>
      </c>
      <c r="B1178" t="s">
        <v>288</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44</v>
      </c>
      <c r="B1179" t="s">
        <v>306</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44</v>
      </c>
      <c r="B1180" t="s">
        <v>345</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44</v>
      </c>
      <c r="B1181" t="s">
        <v>338</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44</v>
      </c>
      <c r="B1182" t="s">
        <v>328</v>
      </c>
      <c r="C1182">
        <v>0</v>
      </c>
      <c r="D1182">
        <v>2</v>
      </c>
      <c r="E1182">
        <v>22</v>
      </c>
      <c r="F1182">
        <v>193</v>
      </c>
      <c r="G1182">
        <v>217</v>
      </c>
      <c r="H1182">
        <v>22</v>
      </c>
      <c r="I1182">
        <v>2</v>
      </c>
      <c r="J1182">
        <v>0.35738959391717101</v>
      </c>
      <c r="L1182">
        <v>-3.2395881567205298E-2</v>
      </c>
      <c r="M1182">
        <v>1</v>
      </c>
      <c r="O1182">
        <v>-3.2395881567205298E-2</v>
      </c>
    </row>
    <row r="1183" spans="1:15" hidden="1" x14ac:dyDescent="0.3">
      <c r="A1183" t="s">
        <v>44</v>
      </c>
      <c r="B1183" t="s">
        <v>216</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44</v>
      </c>
      <c r="B1184" t="s">
        <v>297</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44</v>
      </c>
      <c r="B1185" t="s">
        <v>359</v>
      </c>
      <c r="C1185">
        <v>0</v>
      </c>
      <c r="D1185">
        <v>2</v>
      </c>
      <c r="E1185">
        <v>22</v>
      </c>
      <c r="F1185">
        <v>193</v>
      </c>
      <c r="G1185">
        <v>217</v>
      </c>
      <c r="H1185">
        <v>22</v>
      </c>
      <c r="I1185">
        <v>2</v>
      </c>
      <c r="J1185">
        <v>0.35738959391717101</v>
      </c>
      <c r="L1185">
        <v>-3.2395881567205298E-2</v>
      </c>
      <c r="M1185">
        <v>1</v>
      </c>
      <c r="O1185">
        <v>-3.2395881567205298E-2</v>
      </c>
    </row>
    <row r="1186" spans="1:15" hidden="1" x14ac:dyDescent="0.3">
      <c r="A1186" t="s">
        <v>44</v>
      </c>
      <c r="B1186" t="s">
        <v>285</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44</v>
      </c>
      <c r="B1187" t="s">
        <v>330</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44</v>
      </c>
      <c r="B1188" t="s">
        <v>252</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44</v>
      </c>
      <c r="B1189" t="s">
        <v>278</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44</v>
      </c>
      <c r="B1190" t="s">
        <v>174</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44</v>
      </c>
      <c r="B1191" t="s">
        <v>280</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44</v>
      </c>
      <c r="B1192" t="s">
        <v>318</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44</v>
      </c>
      <c r="B1193" t="s">
        <v>336</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44</v>
      </c>
      <c r="B1194" t="s">
        <v>304</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44</v>
      </c>
      <c r="B1195" t="s">
        <v>270</v>
      </c>
      <c r="C1195">
        <v>0</v>
      </c>
      <c r="D1195">
        <v>3</v>
      </c>
      <c r="E1195">
        <v>22</v>
      </c>
      <c r="F1195">
        <v>192</v>
      </c>
      <c r="G1195">
        <v>217</v>
      </c>
      <c r="H1195">
        <v>22</v>
      </c>
      <c r="I1195">
        <v>3</v>
      </c>
      <c r="J1195">
        <v>0.418184888938118</v>
      </c>
      <c r="L1195">
        <v>-3.97692843048418E-2</v>
      </c>
      <c r="M1195">
        <v>1</v>
      </c>
      <c r="O1195">
        <v>-3.97692843048418E-2</v>
      </c>
    </row>
    <row r="1196" spans="1:15" x14ac:dyDescent="0.3">
      <c r="A1196" t="s">
        <v>44</v>
      </c>
      <c r="B1196" t="s">
        <v>257</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44</v>
      </c>
      <c r="B1197" t="s">
        <v>307</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44</v>
      </c>
      <c r="B1198" t="s">
        <v>198</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44</v>
      </c>
      <c r="B1199" t="s">
        <v>289</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44</v>
      </c>
      <c r="B1200" t="s">
        <v>282</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44</v>
      </c>
      <c r="B1201" t="s">
        <v>291</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50</v>
      </c>
      <c r="B1202" t="s">
        <v>3</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50</v>
      </c>
      <c r="B1203" t="s">
        <v>314</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50</v>
      </c>
      <c r="B1204" t="s">
        <v>357</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50</v>
      </c>
      <c r="B1205" t="s">
        <v>356</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50</v>
      </c>
      <c r="B1206" t="s">
        <v>273</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50</v>
      </c>
      <c r="B1207" t="s">
        <v>242</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50</v>
      </c>
      <c r="B1208" t="s">
        <v>332</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50</v>
      </c>
      <c r="B1209" t="s">
        <v>355</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50</v>
      </c>
      <c r="B1210" t="s">
        <v>335</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50</v>
      </c>
      <c r="B1211" t="s">
        <v>266</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50</v>
      </c>
      <c r="B1212" t="s">
        <v>272</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50</v>
      </c>
      <c r="B1213" t="s">
        <v>310</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50</v>
      </c>
      <c r="B1214" t="s">
        <v>317</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50</v>
      </c>
      <c r="B1215" t="s">
        <v>9</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50</v>
      </c>
      <c r="B1216" t="s">
        <v>362</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50</v>
      </c>
      <c r="B1217" t="s">
        <v>354</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50</v>
      </c>
      <c r="B1218" t="s">
        <v>353</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50</v>
      </c>
      <c r="B1219" t="s">
        <v>363</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50</v>
      </c>
      <c r="B1220" t="s">
        <v>305</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50</v>
      </c>
      <c r="B1221" t="s">
        <v>339</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50</v>
      </c>
      <c r="B1222" t="s">
        <v>248</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50</v>
      </c>
      <c r="B1223" t="s">
        <v>342</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50</v>
      </c>
      <c r="B1224" t="s">
        <v>315</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50</v>
      </c>
      <c r="B1225" t="s">
        <v>247</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50</v>
      </c>
      <c r="B1226" t="s">
        <v>241</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50</v>
      </c>
      <c r="B1227" t="s">
        <v>334</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50</v>
      </c>
      <c r="B1228" t="s">
        <v>300</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50</v>
      </c>
      <c r="B1229" t="s">
        <v>265</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50</v>
      </c>
      <c r="B1230" t="s">
        <v>271</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50</v>
      </c>
      <c r="B1231" t="s">
        <v>255</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50</v>
      </c>
      <c r="B1232" t="s">
        <v>296</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50</v>
      </c>
      <c r="B1233" t="s">
        <v>249</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50</v>
      </c>
      <c r="B1234" t="s">
        <v>308</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50</v>
      </c>
      <c r="B1235" t="s">
        <v>319</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50</v>
      </c>
      <c r="B1236" t="s">
        <v>245</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50</v>
      </c>
      <c r="B1237" t="s">
        <v>240</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50</v>
      </c>
      <c r="B1238" t="s">
        <v>343</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50</v>
      </c>
      <c r="B1239" t="s">
        <v>258</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50</v>
      </c>
      <c r="B1240" t="s">
        <v>344</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50</v>
      </c>
      <c r="B1241" t="s">
        <v>276</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50</v>
      </c>
      <c r="B1242" t="s">
        <v>333</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50</v>
      </c>
      <c r="B1243" t="s">
        <v>263</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50</v>
      </c>
      <c r="B1244" t="s">
        <v>254</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50</v>
      </c>
      <c r="B1245" t="s">
        <v>320</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50</v>
      </c>
      <c r="B1246" t="s">
        <v>275</v>
      </c>
      <c r="C1246">
        <v>0</v>
      </c>
      <c r="D1246">
        <v>11</v>
      </c>
      <c r="E1246">
        <v>6</v>
      </c>
      <c r="F1246">
        <v>200</v>
      </c>
      <c r="G1246">
        <v>217</v>
      </c>
      <c r="H1246">
        <v>6</v>
      </c>
      <c r="I1246">
        <v>11</v>
      </c>
      <c r="J1246">
        <v>0.418184888938118</v>
      </c>
      <c r="L1246">
        <v>-3.89670142139667E-2</v>
      </c>
      <c r="M1246">
        <v>1</v>
      </c>
      <c r="O1246">
        <v>-3.89670142139667E-2</v>
      </c>
    </row>
    <row r="1247" spans="1:15" hidden="1" x14ac:dyDescent="0.3">
      <c r="A1247" t="s">
        <v>50</v>
      </c>
      <c r="B1247" t="s">
        <v>221</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50</v>
      </c>
      <c r="B1248" t="s">
        <v>322</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50</v>
      </c>
      <c r="B1249" t="s">
        <v>303</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50</v>
      </c>
      <c r="B1250" t="s">
        <v>302</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50</v>
      </c>
      <c r="B1251" t="s">
        <v>147</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50</v>
      </c>
      <c r="B1252" t="s">
        <v>284</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50</v>
      </c>
      <c r="B1253" t="s">
        <v>299</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50</v>
      </c>
      <c r="B1254" t="s">
        <v>301</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50</v>
      </c>
      <c r="B1255" t="s">
        <v>268</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50</v>
      </c>
      <c r="B1256" t="s">
        <v>290</v>
      </c>
      <c r="C1256">
        <v>0</v>
      </c>
      <c r="D1256">
        <v>1</v>
      </c>
      <c r="E1256">
        <v>6</v>
      </c>
      <c r="F1256">
        <v>210</v>
      </c>
      <c r="G1256">
        <v>217</v>
      </c>
      <c r="H1256">
        <v>6</v>
      </c>
      <c r="I1256">
        <v>1</v>
      </c>
      <c r="J1256">
        <v>0.15066306992548201</v>
      </c>
      <c r="L1256">
        <v>-1.1473806513691899E-2</v>
      </c>
      <c r="M1256">
        <v>1</v>
      </c>
      <c r="O1256">
        <v>-1.1473806513691899E-2</v>
      </c>
    </row>
    <row r="1257" spans="1:15" hidden="1" x14ac:dyDescent="0.3">
      <c r="A1257" t="s">
        <v>50</v>
      </c>
      <c r="B1257" t="s">
        <v>351</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50</v>
      </c>
      <c r="B1258" t="s">
        <v>337</v>
      </c>
      <c r="C1258">
        <v>0</v>
      </c>
      <c r="D1258">
        <v>3</v>
      </c>
      <c r="E1258">
        <v>6</v>
      </c>
      <c r="F1258">
        <v>208</v>
      </c>
      <c r="G1258">
        <v>217</v>
      </c>
      <c r="H1258">
        <v>6</v>
      </c>
      <c r="I1258">
        <v>3</v>
      </c>
      <c r="J1258">
        <v>0.246361683556235</v>
      </c>
      <c r="L1258">
        <v>-1.9965865365064301E-2</v>
      </c>
      <c r="M1258">
        <v>1</v>
      </c>
      <c r="O1258">
        <v>-1.9965865365064301E-2</v>
      </c>
    </row>
    <row r="1259" spans="1:15" hidden="1" x14ac:dyDescent="0.3">
      <c r="A1259" t="s">
        <v>50</v>
      </c>
      <c r="B1259" t="s">
        <v>212</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50</v>
      </c>
      <c r="B1260" t="s">
        <v>250</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50</v>
      </c>
      <c r="B1261" t="s">
        <v>246</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50</v>
      </c>
      <c r="B1262" t="s">
        <v>347</v>
      </c>
      <c r="C1262">
        <v>0</v>
      </c>
      <c r="D1262">
        <v>1</v>
      </c>
      <c r="E1262">
        <v>6</v>
      </c>
      <c r="F1262">
        <v>210</v>
      </c>
      <c r="G1262">
        <v>217</v>
      </c>
      <c r="H1262">
        <v>6</v>
      </c>
      <c r="I1262">
        <v>1</v>
      </c>
      <c r="J1262">
        <v>0.15066306992548201</v>
      </c>
      <c r="L1262">
        <v>-1.1473806513691899E-2</v>
      </c>
      <c r="M1262">
        <v>1</v>
      </c>
      <c r="O1262">
        <v>-1.1473806513691899E-2</v>
      </c>
    </row>
    <row r="1263" spans="1:15" hidden="1" x14ac:dyDescent="0.3">
      <c r="A1263" t="s">
        <v>50</v>
      </c>
      <c r="B1263" t="s">
        <v>153</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50</v>
      </c>
      <c r="B1264" t="s">
        <v>283</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50</v>
      </c>
      <c r="B1265" t="s">
        <v>5</v>
      </c>
      <c r="C1265">
        <v>0</v>
      </c>
      <c r="D1265">
        <v>3</v>
      </c>
      <c r="E1265">
        <v>6</v>
      </c>
      <c r="F1265">
        <v>208</v>
      </c>
      <c r="G1265">
        <v>217</v>
      </c>
      <c r="H1265">
        <v>6</v>
      </c>
      <c r="I1265">
        <v>3</v>
      </c>
      <c r="J1265">
        <v>0.246361683556235</v>
      </c>
      <c r="L1265">
        <v>-1.9965865365064301E-2</v>
      </c>
      <c r="M1265">
        <v>1</v>
      </c>
      <c r="O1265">
        <v>-1.9965865365064301E-2</v>
      </c>
    </row>
    <row r="1266" spans="1:15" hidden="1" x14ac:dyDescent="0.3">
      <c r="A1266" t="s">
        <v>50</v>
      </c>
      <c r="B1266" t="s">
        <v>219</v>
      </c>
      <c r="C1266">
        <v>0</v>
      </c>
      <c r="D1266">
        <v>4</v>
      </c>
      <c r="E1266">
        <v>6</v>
      </c>
      <c r="F1266">
        <v>207</v>
      </c>
      <c r="G1266">
        <v>217</v>
      </c>
      <c r="H1266">
        <v>6</v>
      </c>
      <c r="I1266">
        <v>4</v>
      </c>
      <c r="J1266">
        <v>0.27862677921159301</v>
      </c>
      <c r="L1266">
        <v>-2.3108650883983999E-2</v>
      </c>
      <c r="M1266">
        <v>1</v>
      </c>
      <c r="O1266">
        <v>-2.3108650883983999E-2</v>
      </c>
    </row>
    <row r="1267" spans="1:15" hidden="1" x14ac:dyDescent="0.3">
      <c r="A1267" t="s">
        <v>50</v>
      </c>
      <c r="B1267" t="s">
        <v>220</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50</v>
      </c>
      <c r="B1268" t="s">
        <v>201</v>
      </c>
      <c r="C1268">
        <v>0</v>
      </c>
      <c r="D1268">
        <v>4</v>
      </c>
      <c r="E1268">
        <v>6</v>
      </c>
      <c r="F1268">
        <v>207</v>
      </c>
      <c r="G1268">
        <v>217</v>
      </c>
      <c r="H1268">
        <v>6</v>
      </c>
      <c r="I1268">
        <v>4</v>
      </c>
      <c r="J1268">
        <v>0.27862677921159301</v>
      </c>
      <c r="L1268">
        <v>-2.3108650883983999E-2</v>
      </c>
      <c r="M1268">
        <v>1</v>
      </c>
      <c r="O1268">
        <v>-2.3108650883983999E-2</v>
      </c>
    </row>
    <row r="1269" spans="1:15" hidden="1" x14ac:dyDescent="0.3">
      <c r="A1269" t="s">
        <v>50</v>
      </c>
      <c r="B1269" t="s">
        <v>279</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50</v>
      </c>
      <c r="B1270" t="s">
        <v>262</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50</v>
      </c>
      <c r="B1271" t="s">
        <v>321</v>
      </c>
      <c r="C1271">
        <v>0</v>
      </c>
      <c r="D1271">
        <v>1</v>
      </c>
      <c r="E1271">
        <v>6</v>
      </c>
      <c r="F1271">
        <v>210</v>
      </c>
      <c r="G1271">
        <v>217</v>
      </c>
      <c r="H1271">
        <v>6</v>
      </c>
      <c r="I1271">
        <v>1</v>
      </c>
      <c r="J1271">
        <v>0.15066306992548201</v>
      </c>
      <c r="L1271">
        <v>-1.1473806513691899E-2</v>
      </c>
      <c r="M1271">
        <v>1</v>
      </c>
      <c r="O1271">
        <v>-1.1473806513691899E-2</v>
      </c>
    </row>
    <row r="1272" spans="1:15" hidden="1" x14ac:dyDescent="0.3">
      <c r="A1272" t="s">
        <v>50</v>
      </c>
      <c r="B1272" t="s">
        <v>215</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50</v>
      </c>
      <c r="B1273" t="s">
        <v>341</v>
      </c>
      <c r="C1273">
        <v>0</v>
      </c>
      <c r="D1273">
        <v>1</v>
      </c>
      <c r="E1273">
        <v>6</v>
      </c>
      <c r="F1273">
        <v>210</v>
      </c>
      <c r="G1273">
        <v>217</v>
      </c>
      <c r="H1273">
        <v>6</v>
      </c>
      <c r="I1273">
        <v>1</v>
      </c>
      <c r="J1273">
        <v>0.15066306992548201</v>
      </c>
      <c r="L1273">
        <v>-1.1473806513691899E-2</v>
      </c>
      <c r="M1273">
        <v>1</v>
      </c>
      <c r="O1273">
        <v>-1.1473806513691899E-2</v>
      </c>
    </row>
    <row r="1274" spans="1:15" hidden="1" x14ac:dyDescent="0.3">
      <c r="A1274" t="s">
        <v>50</v>
      </c>
      <c r="B1274" t="s">
        <v>214</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50</v>
      </c>
      <c r="B1275" t="s">
        <v>168</v>
      </c>
      <c r="C1275">
        <v>0</v>
      </c>
      <c r="D1275">
        <v>5</v>
      </c>
      <c r="E1275">
        <v>6</v>
      </c>
      <c r="F1275">
        <v>206</v>
      </c>
      <c r="G1275">
        <v>217</v>
      </c>
      <c r="H1275">
        <v>6</v>
      </c>
      <c r="I1275">
        <v>5</v>
      </c>
      <c r="J1275">
        <v>0.30590634059779898</v>
      </c>
      <c r="L1275">
        <v>-2.5897120003307399E-2</v>
      </c>
      <c r="M1275">
        <v>1</v>
      </c>
      <c r="O1275">
        <v>-2.5897120003307399E-2</v>
      </c>
    </row>
    <row r="1276" spans="1:15" hidden="1" x14ac:dyDescent="0.3">
      <c r="A1276" t="s">
        <v>50</v>
      </c>
      <c r="B1276" t="s">
        <v>352</v>
      </c>
      <c r="C1276">
        <v>0</v>
      </c>
      <c r="D1276">
        <v>1</v>
      </c>
      <c r="E1276">
        <v>6</v>
      </c>
      <c r="F1276">
        <v>210</v>
      </c>
      <c r="G1276">
        <v>217</v>
      </c>
      <c r="H1276">
        <v>6</v>
      </c>
      <c r="I1276">
        <v>1</v>
      </c>
      <c r="J1276">
        <v>0.15066306992548201</v>
      </c>
      <c r="L1276">
        <v>-1.1473806513691899E-2</v>
      </c>
      <c r="M1276">
        <v>1</v>
      </c>
      <c r="O1276">
        <v>-1.1473806513691899E-2</v>
      </c>
    </row>
    <row r="1277" spans="1:15" x14ac:dyDescent="0.3">
      <c r="A1277" t="s">
        <v>50</v>
      </c>
      <c r="B1277" t="s">
        <v>169</v>
      </c>
      <c r="C1277">
        <v>0</v>
      </c>
      <c r="D1277">
        <v>2</v>
      </c>
      <c r="E1277">
        <v>6</v>
      </c>
      <c r="F1277">
        <v>209</v>
      </c>
      <c r="G1277">
        <v>217</v>
      </c>
      <c r="H1277">
        <v>6</v>
      </c>
      <c r="I1277">
        <v>2</v>
      </c>
      <c r="J1277">
        <v>0.206212993639731</v>
      </c>
      <c r="L1277">
        <v>-1.62641048502511E-2</v>
      </c>
      <c r="M1277">
        <v>1</v>
      </c>
      <c r="O1277">
        <v>-1.62641048502511E-2</v>
      </c>
    </row>
    <row r="1278" spans="1:15" x14ac:dyDescent="0.3">
      <c r="A1278" t="s">
        <v>50</v>
      </c>
      <c r="B1278" t="s">
        <v>175</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50</v>
      </c>
      <c r="B1279" t="s">
        <v>340</v>
      </c>
      <c r="C1279">
        <v>0</v>
      </c>
      <c r="D1279">
        <v>1</v>
      </c>
      <c r="E1279">
        <v>6</v>
      </c>
      <c r="F1279">
        <v>210</v>
      </c>
      <c r="G1279">
        <v>217</v>
      </c>
      <c r="H1279">
        <v>6</v>
      </c>
      <c r="I1279">
        <v>1</v>
      </c>
      <c r="J1279">
        <v>0.15066306992548201</v>
      </c>
      <c r="L1279">
        <v>-1.1473806513691899E-2</v>
      </c>
      <c r="M1279">
        <v>1</v>
      </c>
      <c r="O1279">
        <v>-1.1473806513691899E-2</v>
      </c>
    </row>
    <row r="1280" spans="1:15" hidden="1" x14ac:dyDescent="0.3">
      <c r="A1280" t="s">
        <v>50</v>
      </c>
      <c r="B1280" t="s">
        <v>190</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50</v>
      </c>
      <c r="B1281" t="s">
        <v>346</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50</v>
      </c>
      <c r="B1282" t="s">
        <v>309</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50</v>
      </c>
      <c r="B1283" t="s">
        <v>148</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50</v>
      </c>
      <c r="B1284" t="s">
        <v>173</v>
      </c>
      <c r="C1284">
        <v>0</v>
      </c>
      <c r="D1284">
        <v>2</v>
      </c>
      <c r="E1284">
        <v>6</v>
      </c>
      <c r="F1284">
        <v>209</v>
      </c>
      <c r="G1284">
        <v>217</v>
      </c>
      <c r="H1284">
        <v>6</v>
      </c>
      <c r="I1284">
        <v>2</v>
      </c>
      <c r="J1284">
        <v>0.206212993639731</v>
      </c>
      <c r="L1284">
        <v>-1.62641048502511E-2</v>
      </c>
      <c r="M1284">
        <v>1</v>
      </c>
      <c r="O1284">
        <v>-1.62641048502511E-2</v>
      </c>
    </row>
    <row r="1285" spans="1:15" hidden="1" x14ac:dyDescent="0.3">
      <c r="A1285" t="s">
        <v>50</v>
      </c>
      <c r="B1285" t="s">
        <v>217</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50</v>
      </c>
      <c r="B1286" t="s">
        <v>348</v>
      </c>
      <c r="C1286">
        <v>0</v>
      </c>
      <c r="D1286">
        <v>1</v>
      </c>
      <c r="E1286">
        <v>6</v>
      </c>
      <c r="F1286">
        <v>210</v>
      </c>
      <c r="G1286">
        <v>217</v>
      </c>
      <c r="H1286">
        <v>6</v>
      </c>
      <c r="I1286">
        <v>1</v>
      </c>
      <c r="J1286">
        <v>0.15066306992548201</v>
      </c>
      <c r="L1286">
        <v>-1.1473806513691899E-2</v>
      </c>
      <c r="M1286">
        <v>1</v>
      </c>
      <c r="O1286">
        <v>-1.1473806513691899E-2</v>
      </c>
    </row>
    <row r="1287" spans="1:15" hidden="1" x14ac:dyDescent="0.3">
      <c r="A1287" t="s">
        <v>50</v>
      </c>
      <c r="B1287" t="s">
        <v>222</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50</v>
      </c>
      <c r="B1288" t="s">
        <v>269</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50</v>
      </c>
      <c r="B1289" t="s">
        <v>349</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50</v>
      </c>
      <c r="B1290" t="s">
        <v>274</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50</v>
      </c>
      <c r="B1291" t="s">
        <v>316</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50</v>
      </c>
      <c r="B1292" t="s">
        <v>350</v>
      </c>
      <c r="C1292">
        <v>0</v>
      </c>
      <c r="D1292">
        <v>1</v>
      </c>
      <c r="E1292">
        <v>6</v>
      </c>
      <c r="F1292">
        <v>210</v>
      </c>
      <c r="G1292">
        <v>217</v>
      </c>
      <c r="H1292">
        <v>6</v>
      </c>
      <c r="I1292">
        <v>1</v>
      </c>
      <c r="J1292">
        <v>0.15066306992548201</v>
      </c>
      <c r="L1292">
        <v>-1.1473806513691899E-2</v>
      </c>
      <c r="M1292">
        <v>1</v>
      </c>
      <c r="O1292">
        <v>-1.1473806513691899E-2</v>
      </c>
    </row>
    <row r="1293" spans="1:15" hidden="1" x14ac:dyDescent="0.3">
      <c r="A1293" t="s">
        <v>50</v>
      </c>
      <c r="B1293" t="s">
        <v>218</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50</v>
      </c>
      <c r="B1294" t="s">
        <v>261</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50</v>
      </c>
      <c r="B1295" t="s">
        <v>277</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50</v>
      </c>
      <c r="B1296" t="s">
        <v>251</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50</v>
      </c>
      <c r="B1297" t="s">
        <v>259</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50</v>
      </c>
      <c r="B1298" t="s">
        <v>329</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50</v>
      </c>
      <c r="B1299" t="s">
        <v>360</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50</v>
      </c>
      <c r="B1300" t="s">
        <v>358</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50</v>
      </c>
      <c r="B1301" t="s">
        <v>312</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50</v>
      </c>
      <c r="B1302" t="s">
        <v>361</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50</v>
      </c>
      <c r="B1303" t="s">
        <v>288</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50</v>
      </c>
      <c r="B1304" t="s">
        <v>306</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50</v>
      </c>
      <c r="B1305" t="s">
        <v>345</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50</v>
      </c>
      <c r="B1306" t="s">
        <v>338</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50</v>
      </c>
      <c r="B1307" t="s">
        <v>267</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50</v>
      </c>
      <c r="B1308" t="s">
        <v>194</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50</v>
      </c>
      <c r="B1309" t="s">
        <v>328</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50</v>
      </c>
      <c r="B1310" t="s">
        <v>293</v>
      </c>
      <c r="C1310">
        <v>0</v>
      </c>
      <c r="D1310">
        <v>2</v>
      </c>
      <c r="E1310">
        <v>6</v>
      </c>
      <c r="F1310">
        <v>209</v>
      </c>
      <c r="G1310">
        <v>217</v>
      </c>
      <c r="H1310">
        <v>6</v>
      </c>
      <c r="I1310">
        <v>2</v>
      </c>
      <c r="J1310">
        <v>0.206212993639731</v>
      </c>
      <c r="L1310">
        <v>-1.62641048502511E-2</v>
      </c>
      <c r="M1310">
        <v>1</v>
      </c>
      <c r="O1310">
        <v>-1.62641048502511E-2</v>
      </c>
    </row>
    <row r="1311" spans="1:15" hidden="1" x14ac:dyDescent="0.3">
      <c r="A1311" t="s">
        <v>50</v>
      </c>
      <c r="B1311" t="s">
        <v>216</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50</v>
      </c>
      <c r="B1312" t="s">
        <v>297</v>
      </c>
      <c r="C1312">
        <v>0</v>
      </c>
      <c r="D1312">
        <v>1</v>
      </c>
      <c r="E1312">
        <v>6</v>
      </c>
      <c r="F1312">
        <v>210</v>
      </c>
      <c r="G1312">
        <v>217</v>
      </c>
      <c r="H1312">
        <v>6</v>
      </c>
      <c r="I1312">
        <v>1</v>
      </c>
      <c r="J1312">
        <v>0.15066306992548201</v>
      </c>
      <c r="L1312">
        <v>-1.1473806513691899E-2</v>
      </c>
      <c r="M1312">
        <v>1</v>
      </c>
      <c r="O1312">
        <v>-1.1473806513691899E-2</v>
      </c>
    </row>
    <row r="1313" spans="1:15" hidden="1" x14ac:dyDescent="0.3">
      <c r="A1313" t="s">
        <v>50</v>
      </c>
      <c r="B1313" t="s">
        <v>264</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50</v>
      </c>
      <c r="B1314" t="s">
        <v>359</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50</v>
      </c>
      <c r="B1315" t="s">
        <v>313</v>
      </c>
      <c r="C1315">
        <v>0</v>
      </c>
      <c r="D1315">
        <v>1</v>
      </c>
      <c r="E1315">
        <v>6</v>
      </c>
      <c r="F1315">
        <v>210</v>
      </c>
      <c r="G1315">
        <v>217</v>
      </c>
      <c r="H1315">
        <v>6</v>
      </c>
      <c r="I1315">
        <v>1</v>
      </c>
      <c r="J1315">
        <v>0.15066306992548201</v>
      </c>
      <c r="L1315">
        <v>-1.1473806513691899E-2</v>
      </c>
      <c r="M1315">
        <v>1</v>
      </c>
      <c r="O1315">
        <v>-1.1473806513691899E-2</v>
      </c>
    </row>
    <row r="1316" spans="1:15" hidden="1" x14ac:dyDescent="0.3">
      <c r="A1316" t="s">
        <v>50</v>
      </c>
      <c r="B1316" t="s">
        <v>331</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50</v>
      </c>
      <c r="B1317" t="s">
        <v>311</v>
      </c>
      <c r="C1317">
        <v>0</v>
      </c>
      <c r="D1317">
        <v>1</v>
      </c>
      <c r="E1317">
        <v>6</v>
      </c>
      <c r="F1317">
        <v>210</v>
      </c>
      <c r="G1317">
        <v>217</v>
      </c>
      <c r="H1317">
        <v>6</v>
      </c>
      <c r="I1317">
        <v>1</v>
      </c>
      <c r="J1317">
        <v>0.15066306992548201</v>
      </c>
      <c r="L1317">
        <v>-1.1473806513691899E-2</v>
      </c>
      <c r="M1317">
        <v>1</v>
      </c>
      <c r="O1317">
        <v>-1.1473806513691899E-2</v>
      </c>
    </row>
    <row r="1318" spans="1:15" hidden="1" x14ac:dyDescent="0.3">
      <c r="A1318" t="s">
        <v>50</v>
      </c>
      <c r="B1318" t="s">
        <v>213</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50</v>
      </c>
      <c r="B1319" t="s">
        <v>330</v>
      </c>
      <c r="C1319">
        <v>0</v>
      </c>
      <c r="D1319">
        <v>2</v>
      </c>
      <c r="E1319">
        <v>6</v>
      </c>
      <c r="F1319">
        <v>209</v>
      </c>
      <c r="G1319">
        <v>217</v>
      </c>
      <c r="H1319">
        <v>6</v>
      </c>
      <c r="I1319">
        <v>2</v>
      </c>
      <c r="J1319">
        <v>0.206212993639731</v>
      </c>
      <c r="L1319">
        <v>-1.62641048502511E-2</v>
      </c>
      <c r="M1319">
        <v>1</v>
      </c>
      <c r="O1319">
        <v>-1.62641048502511E-2</v>
      </c>
    </row>
    <row r="1320" spans="1:15" x14ac:dyDescent="0.3">
      <c r="A1320" t="s">
        <v>50</v>
      </c>
      <c r="B1320" t="s">
        <v>170</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50</v>
      </c>
      <c r="B1321" t="s">
        <v>281</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50</v>
      </c>
      <c r="B1322" t="s">
        <v>324</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50</v>
      </c>
      <c r="B1323" t="s">
        <v>278</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50</v>
      </c>
      <c r="B1324" t="s">
        <v>292</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50</v>
      </c>
      <c r="B1325" t="s">
        <v>323</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50</v>
      </c>
      <c r="B1326" t="s">
        <v>326</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50</v>
      </c>
      <c r="B1327" t="s">
        <v>325</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50</v>
      </c>
      <c r="B1328" t="s">
        <v>256</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50</v>
      </c>
      <c r="B1329" t="s">
        <v>327</v>
      </c>
      <c r="C1329">
        <v>0</v>
      </c>
      <c r="D1329">
        <v>1</v>
      </c>
      <c r="E1329">
        <v>6</v>
      </c>
      <c r="F1329">
        <v>210</v>
      </c>
      <c r="G1329">
        <v>217</v>
      </c>
      <c r="H1329">
        <v>6</v>
      </c>
      <c r="I1329">
        <v>1</v>
      </c>
      <c r="J1329">
        <v>0.15066306992548201</v>
      </c>
      <c r="L1329">
        <v>-1.1473806513691899E-2</v>
      </c>
      <c r="M1329">
        <v>1</v>
      </c>
      <c r="O1329">
        <v>-1.1473806513691899E-2</v>
      </c>
    </row>
    <row r="1330" spans="1:15" x14ac:dyDescent="0.3">
      <c r="A1330" t="s">
        <v>50</v>
      </c>
      <c r="B1330" t="s">
        <v>174</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50</v>
      </c>
      <c r="B1331" t="s">
        <v>260</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50</v>
      </c>
      <c r="B1332" t="s">
        <v>280</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50</v>
      </c>
      <c r="B1333" t="s">
        <v>318</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50</v>
      </c>
      <c r="B1334" t="s">
        <v>336</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50</v>
      </c>
      <c r="B1335" t="s">
        <v>304</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50</v>
      </c>
      <c r="B1336" t="s">
        <v>270</v>
      </c>
      <c r="C1336">
        <v>0</v>
      </c>
      <c r="D1336">
        <v>3</v>
      </c>
      <c r="E1336">
        <v>6</v>
      </c>
      <c r="F1336">
        <v>208</v>
      </c>
      <c r="G1336">
        <v>217</v>
      </c>
      <c r="H1336">
        <v>6</v>
      </c>
      <c r="I1336">
        <v>3</v>
      </c>
      <c r="J1336">
        <v>0.246361683556235</v>
      </c>
      <c r="L1336">
        <v>-1.9965865365064301E-2</v>
      </c>
      <c r="M1336">
        <v>1</v>
      </c>
      <c r="O1336">
        <v>-1.9965865365064301E-2</v>
      </c>
    </row>
    <row r="1337" spans="1:15" x14ac:dyDescent="0.3">
      <c r="A1337" t="s">
        <v>50</v>
      </c>
      <c r="B1337" t="s">
        <v>257</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50</v>
      </c>
      <c r="B1338" t="s">
        <v>307</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50</v>
      </c>
      <c r="B1339" t="s">
        <v>198</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50</v>
      </c>
      <c r="B1340" t="s">
        <v>289</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50</v>
      </c>
      <c r="B1341" t="s">
        <v>282</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50</v>
      </c>
      <c r="B1342" t="s">
        <v>291</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52</v>
      </c>
      <c r="B1343" t="s">
        <v>3</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52</v>
      </c>
      <c r="B1344" t="s">
        <v>1</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52</v>
      </c>
      <c r="B1345" t="s">
        <v>314</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52</v>
      </c>
      <c r="B1346" t="s">
        <v>357</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52</v>
      </c>
      <c r="B1347" t="s">
        <v>356</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52</v>
      </c>
      <c r="B1348" t="s">
        <v>273</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52</v>
      </c>
      <c r="B1349" t="s">
        <v>242</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52</v>
      </c>
      <c r="B1350" t="s">
        <v>332</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52</v>
      </c>
      <c r="B1351" t="s">
        <v>355</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52</v>
      </c>
      <c r="B1352" t="s">
        <v>335</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52</v>
      </c>
      <c r="B1353" t="s">
        <v>266</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52</v>
      </c>
      <c r="B1354" t="s">
        <v>272</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52</v>
      </c>
      <c r="B1355" t="s">
        <v>310</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52</v>
      </c>
      <c r="B1356" t="s">
        <v>317</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52</v>
      </c>
      <c r="B1357" t="s">
        <v>9</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52</v>
      </c>
      <c r="B1358" t="s">
        <v>362</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52</v>
      </c>
      <c r="B1359" t="s">
        <v>354</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52</v>
      </c>
      <c r="B1360" t="s">
        <v>353</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52</v>
      </c>
      <c r="B1361" t="s">
        <v>363</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52</v>
      </c>
      <c r="B1362" t="s">
        <v>305</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52</v>
      </c>
      <c r="B1363" t="s">
        <v>339</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52</v>
      </c>
      <c r="B1364" t="s">
        <v>248</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52</v>
      </c>
      <c r="B1365" t="s">
        <v>342</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52</v>
      </c>
      <c r="B1366" t="s">
        <v>315</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52</v>
      </c>
      <c r="B1367" t="s">
        <v>247</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52</v>
      </c>
      <c r="B1368" t="s">
        <v>241</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52</v>
      </c>
      <c r="B1369" t="s">
        <v>334</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52</v>
      </c>
      <c r="B1370" t="s">
        <v>300</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52</v>
      </c>
      <c r="B1371" t="s">
        <v>265</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52</v>
      </c>
      <c r="B1372" t="s">
        <v>271</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52</v>
      </c>
      <c r="B1373" t="s">
        <v>255</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52</v>
      </c>
      <c r="B1374" t="s">
        <v>296</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52</v>
      </c>
      <c r="B1375" t="s">
        <v>249</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52</v>
      </c>
      <c r="B1376" t="s">
        <v>308</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52</v>
      </c>
      <c r="B1377" t="s">
        <v>319</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52</v>
      </c>
      <c r="B1378" t="s">
        <v>245</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52</v>
      </c>
      <c r="B1379" t="s">
        <v>240</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52</v>
      </c>
      <c r="B1380" t="s">
        <v>343</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52</v>
      </c>
      <c r="B1381" t="s">
        <v>258</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52</v>
      </c>
      <c r="B1382" t="s">
        <v>344</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52</v>
      </c>
      <c r="B1383" t="s">
        <v>276</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52</v>
      </c>
      <c r="B1384" t="s">
        <v>333</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52</v>
      </c>
      <c r="B1385" t="s">
        <v>263</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52</v>
      </c>
      <c r="B1386" t="s">
        <v>254</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52</v>
      </c>
      <c r="B1387" t="s">
        <v>320</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52</v>
      </c>
      <c r="B1388" t="s">
        <v>275</v>
      </c>
      <c r="C1388">
        <v>0</v>
      </c>
      <c r="D1388">
        <v>11</v>
      </c>
      <c r="E1388">
        <v>2</v>
      </c>
      <c r="F1388">
        <v>204</v>
      </c>
      <c r="G1388">
        <v>217</v>
      </c>
      <c r="H1388">
        <v>2</v>
      </c>
      <c r="I1388">
        <v>11</v>
      </c>
      <c r="J1388">
        <v>0.26852657159596099</v>
      </c>
      <c r="L1388">
        <v>-2.22873534381808E-2</v>
      </c>
      <c r="M1388">
        <v>1</v>
      </c>
      <c r="O1388">
        <v>-2.22873534381808E-2</v>
      </c>
    </row>
    <row r="1389" spans="1:15" hidden="1" x14ac:dyDescent="0.3">
      <c r="A1389" t="s">
        <v>52</v>
      </c>
      <c r="B1389" t="s">
        <v>221</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52</v>
      </c>
      <c r="B1390" t="s">
        <v>322</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52</v>
      </c>
      <c r="B1391" t="s">
        <v>303</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52</v>
      </c>
      <c r="B1392" t="s">
        <v>302</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52</v>
      </c>
      <c r="B1393" t="s">
        <v>147</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52</v>
      </c>
      <c r="B1394" t="s">
        <v>284</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52</v>
      </c>
      <c r="B1395" t="s">
        <v>299</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52</v>
      </c>
      <c r="B1396" t="s">
        <v>301</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52</v>
      </c>
      <c r="B1397" t="s">
        <v>268</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52</v>
      </c>
      <c r="B1398" t="s">
        <v>290</v>
      </c>
      <c r="C1398">
        <v>0</v>
      </c>
      <c r="D1398">
        <v>1</v>
      </c>
      <c r="E1398">
        <v>2</v>
      </c>
      <c r="F1398">
        <v>214</v>
      </c>
      <c r="G1398">
        <v>217</v>
      </c>
      <c r="H1398">
        <v>2</v>
      </c>
      <c r="I1398">
        <v>1</v>
      </c>
      <c r="J1398">
        <v>8.9972904061745101E-2</v>
      </c>
      <c r="L1398">
        <v>-6.5624935913179798E-3</v>
      </c>
      <c r="M1398">
        <v>1</v>
      </c>
      <c r="O1398">
        <v>-6.5624935913179798E-3</v>
      </c>
    </row>
    <row r="1399" spans="1:15" hidden="1" x14ac:dyDescent="0.3">
      <c r="A1399" t="s">
        <v>52</v>
      </c>
      <c r="B1399" t="s">
        <v>351</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52</v>
      </c>
      <c r="B1400" t="s">
        <v>337</v>
      </c>
      <c r="C1400">
        <v>0</v>
      </c>
      <c r="D1400">
        <v>3</v>
      </c>
      <c r="E1400">
        <v>2</v>
      </c>
      <c r="F1400">
        <v>212</v>
      </c>
      <c r="G1400">
        <v>217</v>
      </c>
      <c r="H1400">
        <v>2</v>
      </c>
      <c r="I1400">
        <v>3</v>
      </c>
      <c r="J1400">
        <v>0.15066306992548201</v>
      </c>
      <c r="L1400">
        <v>-1.14195636249397E-2</v>
      </c>
      <c r="M1400">
        <v>1</v>
      </c>
      <c r="O1400">
        <v>-1.14195636249397E-2</v>
      </c>
    </row>
    <row r="1401" spans="1:15" hidden="1" x14ac:dyDescent="0.3">
      <c r="A1401" t="s">
        <v>52</v>
      </c>
      <c r="B1401" t="s">
        <v>212</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52</v>
      </c>
      <c r="B1402" t="s">
        <v>250</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52</v>
      </c>
      <c r="B1403" t="s">
        <v>246</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52</v>
      </c>
      <c r="B1404" t="s">
        <v>347</v>
      </c>
      <c r="C1404">
        <v>0</v>
      </c>
      <c r="D1404">
        <v>1</v>
      </c>
      <c r="E1404">
        <v>2</v>
      </c>
      <c r="F1404">
        <v>214</v>
      </c>
      <c r="G1404">
        <v>217</v>
      </c>
      <c r="H1404">
        <v>2</v>
      </c>
      <c r="I1404">
        <v>1</v>
      </c>
      <c r="J1404">
        <v>8.9972904061745101E-2</v>
      </c>
      <c r="L1404">
        <v>-6.5624935913179798E-3</v>
      </c>
      <c r="M1404">
        <v>1</v>
      </c>
      <c r="O1404">
        <v>-6.5624935913179798E-3</v>
      </c>
    </row>
    <row r="1405" spans="1:15" hidden="1" x14ac:dyDescent="0.3">
      <c r="A1405" t="s">
        <v>52</v>
      </c>
      <c r="B1405" t="s">
        <v>153</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52</v>
      </c>
      <c r="B1406" t="s">
        <v>283</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52</v>
      </c>
      <c r="B1407" t="s">
        <v>5</v>
      </c>
      <c r="C1407">
        <v>0</v>
      </c>
      <c r="D1407">
        <v>3</v>
      </c>
      <c r="E1407">
        <v>2</v>
      </c>
      <c r="F1407">
        <v>212</v>
      </c>
      <c r="G1407">
        <v>217</v>
      </c>
      <c r="H1407">
        <v>2</v>
      </c>
      <c r="I1407">
        <v>3</v>
      </c>
      <c r="J1407">
        <v>0.15066306992548201</v>
      </c>
      <c r="L1407">
        <v>-1.14195636249397E-2</v>
      </c>
      <c r="M1407">
        <v>1</v>
      </c>
      <c r="O1407">
        <v>-1.14195636249397E-2</v>
      </c>
    </row>
    <row r="1408" spans="1:15" hidden="1" x14ac:dyDescent="0.3">
      <c r="A1408" t="s">
        <v>52</v>
      </c>
      <c r="B1408" t="s">
        <v>219</v>
      </c>
      <c r="C1408">
        <v>0</v>
      </c>
      <c r="D1408">
        <v>4</v>
      </c>
      <c r="E1408">
        <v>2</v>
      </c>
      <c r="F1408">
        <v>211</v>
      </c>
      <c r="G1408">
        <v>217</v>
      </c>
      <c r="H1408">
        <v>2</v>
      </c>
      <c r="I1408">
        <v>4</v>
      </c>
      <c r="J1408">
        <v>0.17185068465818601</v>
      </c>
      <c r="L1408">
        <v>-1.3217093485861199E-2</v>
      </c>
      <c r="M1408">
        <v>1</v>
      </c>
      <c r="O1408">
        <v>-1.3217093485861199E-2</v>
      </c>
    </row>
    <row r="1409" spans="1:15" hidden="1" x14ac:dyDescent="0.3">
      <c r="A1409" t="s">
        <v>52</v>
      </c>
      <c r="B1409" t="s">
        <v>220</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52</v>
      </c>
      <c r="B1410" t="s">
        <v>201</v>
      </c>
      <c r="C1410">
        <v>0</v>
      </c>
      <c r="D1410">
        <v>4</v>
      </c>
      <c r="E1410">
        <v>2</v>
      </c>
      <c r="F1410">
        <v>211</v>
      </c>
      <c r="G1410">
        <v>217</v>
      </c>
      <c r="H1410">
        <v>2</v>
      </c>
      <c r="I1410">
        <v>4</v>
      </c>
      <c r="J1410">
        <v>0.17185068465818601</v>
      </c>
      <c r="L1410">
        <v>-1.3217093485861199E-2</v>
      </c>
      <c r="M1410">
        <v>1</v>
      </c>
      <c r="O1410">
        <v>-1.3217093485861199E-2</v>
      </c>
    </row>
    <row r="1411" spans="1:15" hidden="1" x14ac:dyDescent="0.3">
      <c r="A1411" t="s">
        <v>52</v>
      </c>
      <c r="B1411" t="s">
        <v>279</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52</v>
      </c>
      <c r="B1412" t="s">
        <v>262</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52</v>
      </c>
      <c r="B1413" t="s">
        <v>321</v>
      </c>
      <c r="C1413">
        <v>0</v>
      </c>
      <c r="D1413">
        <v>1</v>
      </c>
      <c r="E1413">
        <v>2</v>
      </c>
      <c r="F1413">
        <v>214</v>
      </c>
      <c r="G1413">
        <v>217</v>
      </c>
      <c r="H1413">
        <v>2</v>
      </c>
      <c r="I1413">
        <v>1</v>
      </c>
      <c r="J1413">
        <v>8.9972904061745101E-2</v>
      </c>
      <c r="L1413">
        <v>-6.5624935913179798E-3</v>
      </c>
      <c r="M1413">
        <v>1</v>
      </c>
      <c r="O1413">
        <v>-6.5624935913179798E-3</v>
      </c>
    </row>
    <row r="1414" spans="1:15" hidden="1" x14ac:dyDescent="0.3">
      <c r="A1414" t="s">
        <v>52</v>
      </c>
      <c r="B1414" t="s">
        <v>215</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52</v>
      </c>
      <c r="B1415" t="s">
        <v>341</v>
      </c>
      <c r="C1415">
        <v>0</v>
      </c>
      <c r="D1415">
        <v>1</v>
      </c>
      <c r="E1415">
        <v>2</v>
      </c>
      <c r="F1415">
        <v>214</v>
      </c>
      <c r="G1415">
        <v>217</v>
      </c>
      <c r="H1415">
        <v>2</v>
      </c>
      <c r="I1415">
        <v>1</v>
      </c>
      <c r="J1415">
        <v>8.9972904061745101E-2</v>
      </c>
      <c r="L1415">
        <v>-6.5624935913179798E-3</v>
      </c>
      <c r="M1415">
        <v>1</v>
      </c>
      <c r="O1415">
        <v>-6.5624935913179798E-3</v>
      </c>
    </row>
    <row r="1416" spans="1:15" hidden="1" x14ac:dyDescent="0.3">
      <c r="A1416" t="s">
        <v>52</v>
      </c>
      <c r="B1416" t="s">
        <v>214</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52</v>
      </c>
      <c r="B1417" t="s">
        <v>168</v>
      </c>
      <c r="C1417">
        <v>0</v>
      </c>
      <c r="D1417">
        <v>5</v>
      </c>
      <c r="E1417">
        <v>2</v>
      </c>
      <c r="F1417">
        <v>210</v>
      </c>
      <c r="G1417">
        <v>217</v>
      </c>
      <c r="H1417">
        <v>2</v>
      </c>
      <c r="I1417">
        <v>5</v>
      </c>
      <c r="J1417">
        <v>0.190078954435137</v>
      </c>
      <c r="L1417">
        <v>-1.48119705393753E-2</v>
      </c>
      <c r="M1417">
        <v>1</v>
      </c>
      <c r="O1417">
        <v>-1.48119705393753E-2</v>
      </c>
    </row>
    <row r="1418" spans="1:15" hidden="1" x14ac:dyDescent="0.3">
      <c r="A1418" t="s">
        <v>52</v>
      </c>
      <c r="B1418" t="s">
        <v>352</v>
      </c>
      <c r="C1418">
        <v>0</v>
      </c>
      <c r="D1418">
        <v>1</v>
      </c>
      <c r="E1418">
        <v>2</v>
      </c>
      <c r="F1418">
        <v>214</v>
      </c>
      <c r="G1418">
        <v>217</v>
      </c>
      <c r="H1418">
        <v>2</v>
      </c>
      <c r="I1418">
        <v>1</v>
      </c>
      <c r="J1418">
        <v>8.9972904061745101E-2</v>
      </c>
      <c r="L1418">
        <v>-6.5624935913179798E-3</v>
      </c>
      <c r="M1418">
        <v>1</v>
      </c>
      <c r="O1418">
        <v>-6.5624935913179798E-3</v>
      </c>
    </row>
    <row r="1419" spans="1:15" x14ac:dyDescent="0.3">
      <c r="A1419" t="s">
        <v>52</v>
      </c>
      <c r="B1419" t="s">
        <v>175</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52</v>
      </c>
      <c r="B1420" t="s">
        <v>340</v>
      </c>
      <c r="C1420">
        <v>0</v>
      </c>
      <c r="D1420">
        <v>1</v>
      </c>
      <c r="E1420">
        <v>2</v>
      </c>
      <c r="F1420">
        <v>214</v>
      </c>
      <c r="G1420">
        <v>217</v>
      </c>
      <c r="H1420">
        <v>2</v>
      </c>
      <c r="I1420">
        <v>1</v>
      </c>
      <c r="J1420">
        <v>8.9972904061745101E-2</v>
      </c>
      <c r="L1420">
        <v>-6.5624935913179798E-3</v>
      </c>
      <c r="M1420">
        <v>1</v>
      </c>
      <c r="O1420">
        <v>-6.5624935913179798E-3</v>
      </c>
    </row>
    <row r="1421" spans="1:15" hidden="1" x14ac:dyDescent="0.3">
      <c r="A1421" t="s">
        <v>52</v>
      </c>
      <c r="B1421" t="s">
        <v>190</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52</v>
      </c>
      <c r="B1422" t="s">
        <v>346</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52</v>
      </c>
      <c r="B1423" t="s">
        <v>309</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52</v>
      </c>
      <c r="B1424" t="s">
        <v>148</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52</v>
      </c>
      <c r="B1425" t="s">
        <v>173</v>
      </c>
      <c r="C1425">
        <v>0</v>
      </c>
      <c r="D1425">
        <v>2</v>
      </c>
      <c r="E1425">
        <v>2</v>
      </c>
      <c r="F1425">
        <v>213</v>
      </c>
      <c r="G1425">
        <v>217</v>
      </c>
      <c r="H1425">
        <v>2</v>
      </c>
      <c r="I1425">
        <v>2</v>
      </c>
      <c r="J1425">
        <v>0.124826680957052</v>
      </c>
      <c r="L1425">
        <v>-9.30232558139534E-3</v>
      </c>
      <c r="M1425">
        <v>1</v>
      </c>
      <c r="O1425">
        <v>-9.30232558139534E-3</v>
      </c>
    </row>
    <row r="1426" spans="1:15" hidden="1" x14ac:dyDescent="0.3">
      <c r="A1426" t="s">
        <v>52</v>
      </c>
      <c r="B1426" t="s">
        <v>217</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52</v>
      </c>
      <c r="B1427" t="s">
        <v>348</v>
      </c>
      <c r="C1427">
        <v>0</v>
      </c>
      <c r="D1427">
        <v>1</v>
      </c>
      <c r="E1427">
        <v>2</v>
      </c>
      <c r="F1427">
        <v>214</v>
      </c>
      <c r="G1427">
        <v>217</v>
      </c>
      <c r="H1427">
        <v>2</v>
      </c>
      <c r="I1427">
        <v>1</v>
      </c>
      <c r="J1427">
        <v>8.9972904061745101E-2</v>
      </c>
      <c r="L1427">
        <v>-6.5624935913179798E-3</v>
      </c>
      <c r="M1427">
        <v>1</v>
      </c>
      <c r="O1427">
        <v>-6.5624935913179798E-3</v>
      </c>
    </row>
    <row r="1428" spans="1:15" hidden="1" x14ac:dyDescent="0.3">
      <c r="A1428" t="s">
        <v>52</v>
      </c>
      <c r="B1428" t="s">
        <v>222</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52</v>
      </c>
      <c r="B1429" t="s">
        <v>269</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52</v>
      </c>
      <c r="B1430" t="s">
        <v>349</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52</v>
      </c>
      <c r="B1431" t="s">
        <v>274</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52</v>
      </c>
      <c r="B1432" t="s">
        <v>316</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52</v>
      </c>
      <c r="B1433" t="s">
        <v>350</v>
      </c>
      <c r="C1433">
        <v>0</v>
      </c>
      <c r="D1433">
        <v>1</v>
      </c>
      <c r="E1433">
        <v>2</v>
      </c>
      <c r="F1433">
        <v>214</v>
      </c>
      <c r="G1433">
        <v>217</v>
      </c>
      <c r="H1433">
        <v>2</v>
      </c>
      <c r="I1433">
        <v>1</v>
      </c>
      <c r="J1433">
        <v>8.9972904061745101E-2</v>
      </c>
      <c r="L1433">
        <v>-6.5624935913179798E-3</v>
      </c>
      <c r="M1433">
        <v>1</v>
      </c>
      <c r="O1433">
        <v>-6.5624935913179798E-3</v>
      </c>
    </row>
    <row r="1434" spans="1:15" hidden="1" x14ac:dyDescent="0.3">
      <c r="A1434" t="s">
        <v>52</v>
      </c>
      <c r="B1434" t="s">
        <v>218</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52</v>
      </c>
      <c r="B1435" t="s">
        <v>277</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52</v>
      </c>
      <c r="B1436" t="s">
        <v>251</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52</v>
      </c>
      <c r="B1437" t="s">
        <v>259</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52</v>
      </c>
      <c r="B1438" t="s">
        <v>329</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52</v>
      </c>
      <c r="B1439" t="s">
        <v>360</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52</v>
      </c>
      <c r="B1440" t="s">
        <v>358</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52</v>
      </c>
      <c r="B1441" t="s">
        <v>312</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52</v>
      </c>
      <c r="B1442" t="s">
        <v>361</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52</v>
      </c>
      <c r="B1443" t="s">
        <v>288</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52</v>
      </c>
      <c r="B1444" t="s">
        <v>306</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52</v>
      </c>
      <c r="B1445" t="s">
        <v>345</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52</v>
      </c>
      <c r="B1446" t="s">
        <v>338</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52</v>
      </c>
      <c r="B1447" t="s">
        <v>267</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52</v>
      </c>
      <c r="B1448" t="s">
        <v>194</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52</v>
      </c>
      <c r="B1449" t="s">
        <v>328</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52</v>
      </c>
      <c r="B1450" t="s">
        <v>293</v>
      </c>
      <c r="C1450">
        <v>0</v>
      </c>
      <c r="D1450">
        <v>2</v>
      </c>
      <c r="E1450">
        <v>2</v>
      </c>
      <c r="F1450">
        <v>213</v>
      </c>
      <c r="G1450">
        <v>217</v>
      </c>
      <c r="H1450">
        <v>2</v>
      </c>
      <c r="I1450">
        <v>2</v>
      </c>
      <c r="J1450">
        <v>0.124826680957052</v>
      </c>
      <c r="L1450">
        <v>-9.30232558139534E-3</v>
      </c>
      <c r="M1450">
        <v>1</v>
      </c>
      <c r="O1450">
        <v>-9.30232558139534E-3</v>
      </c>
    </row>
    <row r="1451" spans="1:15" hidden="1" x14ac:dyDescent="0.3">
      <c r="A1451" t="s">
        <v>52</v>
      </c>
      <c r="B1451" t="s">
        <v>216</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52</v>
      </c>
      <c r="B1452" t="s">
        <v>297</v>
      </c>
      <c r="C1452">
        <v>0</v>
      </c>
      <c r="D1452">
        <v>1</v>
      </c>
      <c r="E1452">
        <v>2</v>
      </c>
      <c r="F1452">
        <v>214</v>
      </c>
      <c r="G1452">
        <v>217</v>
      </c>
      <c r="H1452">
        <v>2</v>
      </c>
      <c r="I1452">
        <v>1</v>
      </c>
      <c r="J1452">
        <v>8.9972904061745101E-2</v>
      </c>
      <c r="L1452">
        <v>-6.5624935913179798E-3</v>
      </c>
      <c r="M1452">
        <v>1</v>
      </c>
      <c r="O1452">
        <v>-6.5624935913179798E-3</v>
      </c>
    </row>
    <row r="1453" spans="1:15" hidden="1" x14ac:dyDescent="0.3">
      <c r="A1453" t="s">
        <v>52</v>
      </c>
      <c r="B1453" t="s">
        <v>264</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52</v>
      </c>
      <c r="B1454" t="s">
        <v>359</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52</v>
      </c>
      <c r="B1455" t="s">
        <v>313</v>
      </c>
      <c r="C1455">
        <v>0</v>
      </c>
      <c r="D1455">
        <v>1</v>
      </c>
      <c r="E1455">
        <v>2</v>
      </c>
      <c r="F1455">
        <v>214</v>
      </c>
      <c r="G1455">
        <v>217</v>
      </c>
      <c r="H1455">
        <v>2</v>
      </c>
      <c r="I1455">
        <v>1</v>
      </c>
      <c r="J1455">
        <v>8.9972904061745101E-2</v>
      </c>
      <c r="L1455">
        <v>-6.5624935913179798E-3</v>
      </c>
      <c r="M1455">
        <v>1</v>
      </c>
      <c r="O1455">
        <v>-6.5624935913179798E-3</v>
      </c>
    </row>
    <row r="1456" spans="1:15" hidden="1" x14ac:dyDescent="0.3">
      <c r="A1456" t="s">
        <v>52</v>
      </c>
      <c r="B1456" t="s">
        <v>331</v>
      </c>
      <c r="C1456">
        <v>0</v>
      </c>
      <c r="D1456">
        <v>2</v>
      </c>
      <c r="E1456">
        <v>2</v>
      </c>
      <c r="F1456">
        <v>213</v>
      </c>
      <c r="G1456">
        <v>217</v>
      </c>
      <c r="H1456">
        <v>2</v>
      </c>
      <c r="I1456">
        <v>2</v>
      </c>
      <c r="J1456">
        <v>0.124826680957052</v>
      </c>
      <c r="L1456">
        <v>-9.30232558139534E-3</v>
      </c>
      <c r="M1456">
        <v>1</v>
      </c>
      <c r="O1456">
        <v>-9.30232558139534E-3</v>
      </c>
    </row>
    <row r="1457" spans="1:15" hidden="1" x14ac:dyDescent="0.3">
      <c r="A1457" t="s">
        <v>52</v>
      </c>
      <c r="B1457" t="s">
        <v>285</v>
      </c>
      <c r="C1457">
        <v>0</v>
      </c>
      <c r="D1457">
        <v>1</v>
      </c>
      <c r="E1457">
        <v>2</v>
      </c>
      <c r="F1457">
        <v>214</v>
      </c>
      <c r="G1457">
        <v>217</v>
      </c>
      <c r="H1457">
        <v>2</v>
      </c>
      <c r="I1457">
        <v>1</v>
      </c>
      <c r="J1457">
        <v>8.9972904061745101E-2</v>
      </c>
      <c r="L1457">
        <v>-6.5624935913179798E-3</v>
      </c>
      <c r="M1457">
        <v>1</v>
      </c>
      <c r="O1457">
        <v>-6.5624935913179798E-3</v>
      </c>
    </row>
    <row r="1458" spans="1:15" x14ac:dyDescent="0.3">
      <c r="A1458" t="s">
        <v>52</v>
      </c>
      <c r="B1458" t="s">
        <v>152</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52</v>
      </c>
      <c r="B1459" t="s">
        <v>311</v>
      </c>
      <c r="C1459">
        <v>0</v>
      </c>
      <c r="D1459">
        <v>1</v>
      </c>
      <c r="E1459">
        <v>2</v>
      </c>
      <c r="F1459">
        <v>214</v>
      </c>
      <c r="G1459">
        <v>217</v>
      </c>
      <c r="H1459">
        <v>2</v>
      </c>
      <c r="I1459">
        <v>1</v>
      </c>
      <c r="J1459">
        <v>8.9972904061745101E-2</v>
      </c>
      <c r="L1459">
        <v>-6.5624935913179798E-3</v>
      </c>
      <c r="M1459">
        <v>1</v>
      </c>
      <c r="O1459">
        <v>-6.5624935913179798E-3</v>
      </c>
    </row>
    <row r="1460" spans="1:15" hidden="1" x14ac:dyDescent="0.3">
      <c r="A1460" t="s">
        <v>52</v>
      </c>
      <c r="B1460" t="s">
        <v>213</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52</v>
      </c>
      <c r="B1461" t="s">
        <v>330</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52</v>
      </c>
      <c r="B1462" t="s">
        <v>252</v>
      </c>
      <c r="C1462">
        <v>0</v>
      </c>
      <c r="D1462">
        <v>3</v>
      </c>
      <c r="E1462">
        <v>2</v>
      </c>
      <c r="F1462">
        <v>212</v>
      </c>
      <c r="G1462">
        <v>217</v>
      </c>
      <c r="H1462">
        <v>2</v>
      </c>
      <c r="I1462">
        <v>3</v>
      </c>
      <c r="J1462">
        <v>0.15066306992548201</v>
      </c>
      <c r="L1462">
        <v>-1.14195636249397E-2</v>
      </c>
      <c r="M1462">
        <v>1</v>
      </c>
      <c r="O1462">
        <v>-1.14195636249397E-2</v>
      </c>
    </row>
    <row r="1463" spans="1:15" x14ac:dyDescent="0.3">
      <c r="A1463" t="s">
        <v>52</v>
      </c>
      <c r="B1463" t="s">
        <v>170</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52</v>
      </c>
      <c r="B1464" t="s">
        <v>281</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52</v>
      </c>
      <c r="B1465" t="s">
        <v>324</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52</v>
      </c>
      <c r="B1466" t="s">
        <v>292</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52</v>
      </c>
      <c r="B1467" t="s">
        <v>172</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52</v>
      </c>
      <c r="B1468" t="s">
        <v>323</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52</v>
      </c>
      <c r="B1469" t="s">
        <v>326</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52</v>
      </c>
      <c r="B1470" t="s">
        <v>325</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52</v>
      </c>
      <c r="B1471" t="s">
        <v>256</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52</v>
      </c>
      <c r="B1472" t="s">
        <v>243</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52</v>
      </c>
      <c r="B1473" t="s">
        <v>327</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52</v>
      </c>
      <c r="B1474" t="s">
        <v>174</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52</v>
      </c>
      <c r="B1475" t="s">
        <v>260</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52</v>
      </c>
      <c r="B1476" t="s">
        <v>280</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52</v>
      </c>
      <c r="B1477" t="s">
        <v>318</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52</v>
      </c>
      <c r="B1478" t="s">
        <v>336</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52</v>
      </c>
      <c r="B1479" t="s">
        <v>304</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52</v>
      </c>
      <c r="B1480" t="s">
        <v>270</v>
      </c>
      <c r="C1480">
        <v>0</v>
      </c>
      <c r="D1480">
        <v>3</v>
      </c>
      <c r="E1480">
        <v>2</v>
      </c>
      <c r="F1480">
        <v>212</v>
      </c>
      <c r="G1480">
        <v>217</v>
      </c>
      <c r="H1480">
        <v>2</v>
      </c>
      <c r="I1480">
        <v>3</v>
      </c>
      <c r="J1480">
        <v>0.15066306992548201</v>
      </c>
      <c r="L1480">
        <v>-1.14195636249397E-2</v>
      </c>
      <c r="M1480">
        <v>1</v>
      </c>
      <c r="O1480">
        <v>-1.14195636249397E-2</v>
      </c>
    </row>
    <row r="1481" spans="1:15" x14ac:dyDescent="0.3">
      <c r="A1481" t="s">
        <v>52</v>
      </c>
      <c r="B1481" t="s">
        <v>257</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52</v>
      </c>
      <c r="B1482" t="s">
        <v>307</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52</v>
      </c>
      <c r="B1483" t="s">
        <v>286</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52</v>
      </c>
      <c r="B1484" t="s">
        <v>198</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52</v>
      </c>
      <c r="B1485" t="s">
        <v>289</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52</v>
      </c>
      <c r="B1486" t="s">
        <v>282</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52</v>
      </c>
      <c r="B1487" t="s">
        <v>291</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58</v>
      </c>
      <c r="B1488" t="s">
        <v>3</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58</v>
      </c>
      <c r="B1489" t="s">
        <v>1</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58</v>
      </c>
      <c r="B1490" t="s">
        <v>314</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58</v>
      </c>
      <c r="B1491" t="s">
        <v>357</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58</v>
      </c>
      <c r="B1492" t="s">
        <v>356</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58</v>
      </c>
      <c r="B1493" t="s">
        <v>273</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58</v>
      </c>
      <c r="B1494" t="s">
        <v>242</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58</v>
      </c>
      <c r="B1495" t="s">
        <v>332</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58</v>
      </c>
      <c r="B1496" t="s">
        <v>355</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58</v>
      </c>
      <c r="B1497" t="s">
        <v>335</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58</v>
      </c>
      <c r="B1498" t="s">
        <v>266</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58</v>
      </c>
      <c r="B1499" t="s">
        <v>272</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58</v>
      </c>
      <c r="B1500" t="s">
        <v>310</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58</v>
      </c>
      <c r="B1501" t="s">
        <v>317</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58</v>
      </c>
      <c r="B1502" t="s">
        <v>9</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58</v>
      </c>
      <c r="B1503" t="s">
        <v>362</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58</v>
      </c>
      <c r="B1504" t="s">
        <v>354</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58</v>
      </c>
      <c r="B1505" t="s">
        <v>353</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58</v>
      </c>
      <c r="B1506" t="s">
        <v>363</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58</v>
      </c>
      <c r="B1507" t="s">
        <v>305</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58</v>
      </c>
      <c r="B1508" t="s">
        <v>339</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58</v>
      </c>
      <c r="B1509" t="s">
        <v>248</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58</v>
      </c>
      <c r="B1510" t="s">
        <v>342</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58</v>
      </c>
      <c r="B1511" t="s">
        <v>315</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58</v>
      </c>
      <c r="B1512" t="s">
        <v>247</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58</v>
      </c>
      <c r="B1513" t="s">
        <v>241</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58</v>
      </c>
      <c r="B1514" t="s">
        <v>334</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58</v>
      </c>
      <c r="B1515" t="s">
        <v>300</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58</v>
      </c>
      <c r="B1516" t="s">
        <v>265</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58</v>
      </c>
      <c r="B1517" t="s">
        <v>271</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58</v>
      </c>
      <c r="B1518" t="s">
        <v>255</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58</v>
      </c>
      <c r="B1519" t="s">
        <v>296</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58</v>
      </c>
      <c r="B1520" t="s">
        <v>249</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58</v>
      </c>
      <c r="B1521" t="s">
        <v>308</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58</v>
      </c>
      <c r="B1522" t="s">
        <v>319</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58</v>
      </c>
      <c r="B1523" t="s">
        <v>245</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58</v>
      </c>
      <c r="B1524" t="s">
        <v>240</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58</v>
      </c>
      <c r="B1525" t="s">
        <v>343</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58</v>
      </c>
      <c r="B1526" t="s">
        <v>258</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58</v>
      </c>
      <c r="B1527" t="s">
        <v>344</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58</v>
      </c>
      <c r="B1528" t="s">
        <v>276</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58</v>
      </c>
      <c r="B1529" t="s">
        <v>333</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58</v>
      </c>
      <c r="B1530" t="s">
        <v>263</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58</v>
      </c>
      <c r="B1531" t="s">
        <v>254</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58</v>
      </c>
      <c r="B1532" t="s">
        <v>320</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58</v>
      </c>
      <c r="B1533" t="s">
        <v>275</v>
      </c>
      <c r="C1533">
        <v>0</v>
      </c>
      <c r="D1533">
        <v>11</v>
      </c>
      <c r="E1533">
        <v>1</v>
      </c>
      <c r="F1533">
        <v>205</v>
      </c>
      <c r="G1533">
        <v>217</v>
      </c>
      <c r="H1533">
        <v>1</v>
      </c>
      <c r="I1533">
        <v>11</v>
      </c>
      <c r="J1533">
        <v>0.19837015644199599</v>
      </c>
      <c r="L1533">
        <v>-1.5723016016341299E-2</v>
      </c>
      <c r="M1533">
        <v>1</v>
      </c>
      <c r="O1533">
        <v>-1.5723016016341299E-2</v>
      </c>
    </row>
    <row r="1534" spans="1:15" hidden="1" x14ac:dyDescent="0.3">
      <c r="A1534" t="s">
        <v>58</v>
      </c>
      <c r="B1534" t="s">
        <v>221</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58</v>
      </c>
      <c r="B1535" t="s">
        <v>322</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58</v>
      </c>
      <c r="B1536" t="s">
        <v>303</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58</v>
      </c>
      <c r="B1537" t="s">
        <v>302</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58</v>
      </c>
      <c r="B1538" t="s">
        <v>147</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58</v>
      </c>
      <c r="B1539" t="s">
        <v>284</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58</v>
      </c>
      <c r="B1540" t="s">
        <v>299</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58</v>
      </c>
      <c r="B1541" t="s">
        <v>301</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58</v>
      </c>
      <c r="B1542" t="s">
        <v>268</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58</v>
      </c>
      <c r="B1543" t="s">
        <v>290</v>
      </c>
      <c r="C1543">
        <v>0</v>
      </c>
      <c r="D1543">
        <v>1</v>
      </c>
      <c r="E1543">
        <v>1</v>
      </c>
      <c r="F1543">
        <v>215</v>
      </c>
      <c r="G1543">
        <v>217</v>
      </c>
      <c r="H1543">
        <v>1</v>
      </c>
      <c r="I1543">
        <v>1</v>
      </c>
      <c r="J1543">
        <v>6.4493014968382195E-2</v>
      </c>
      <c r="L1543">
        <v>-4.6296296296296198E-3</v>
      </c>
      <c r="M1543">
        <v>1</v>
      </c>
      <c r="O1543">
        <v>-4.6296296296296198E-3</v>
      </c>
    </row>
    <row r="1544" spans="1:15" hidden="1" x14ac:dyDescent="0.3">
      <c r="A1544" t="s">
        <v>58</v>
      </c>
      <c r="B1544" t="s">
        <v>351</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58</v>
      </c>
      <c r="B1545" t="s">
        <v>337</v>
      </c>
      <c r="C1545">
        <v>0</v>
      </c>
      <c r="D1545">
        <v>3</v>
      </c>
      <c r="E1545">
        <v>1</v>
      </c>
      <c r="F1545">
        <v>213</v>
      </c>
      <c r="G1545">
        <v>217</v>
      </c>
      <c r="H1545">
        <v>1</v>
      </c>
      <c r="I1545">
        <v>3</v>
      </c>
      <c r="J1545">
        <v>0.109052747711589</v>
      </c>
      <c r="L1545">
        <v>-8.0561374087138593E-3</v>
      </c>
      <c r="M1545">
        <v>1</v>
      </c>
      <c r="O1545">
        <v>-8.0561374087138593E-3</v>
      </c>
    </row>
    <row r="1546" spans="1:15" hidden="1" x14ac:dyDescent="0.3">
      <c r="A1546" t="s">
        <v>58</v>
      </c>
      <c r="B1546" t="s">
        <v>212</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58</v>
      </c>
      <c r="B1547" t="s">
        <v>250</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58</v>
      </c>
      <c r="B1548" t="s">
        <v>246</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58</v>
      </c>
      <c r="B1549" t="s">
        <v>347</v>
      </c>
      <c r="C1549">
        <v>0</v>
      </c>
      <c r="D1549">
        <v>1</v>
      </c>
      <c r="E1549">
        <v>1</v>
      </c>
      <c r="F1549">
        <v>215</v>
      </c>
      <c r="G1549">
        <v>217</v>
      </c>
      <c r="H1549">
        <v>1</v>
      </c>
      <c r="I1549">
        <v>1</v>
      </c>
      <c r="J1549">
        <v>6.4493014968382195E-2</v>
      </c>
      <c r="L1549">
        <v>-4.6296296296296198E-3</v>
      </c>
      <c r="M1549">
        <v>1</v>
      </c>
      <c r="O1549">
        <v>-4.6296296296296198E-3</v>
      </c>
    </row>
    <row r="1550" spans="1:15" hidden="1" x14ac:dyDescent="0.3">
      <c r="A1550" t="s">
        <v>58</v>
      </c>
      <c r="B1550" t="s">
        <v>153</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58</v>
      </c>
      <c r="B1551" t="s">
        <v>283</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58</v>
      </c>
      <c r="B1552" t="s">
        <v>5</v>
      </c>
      <c r="C1552">
        <v>0</v>
      </c>
      <c r="D1552">
        <v>3</v>
      </c>
      <c r="E1552">
        <v>1</v>
      </c>
      <c r="F1552">
        <v>213</v>
      </c>
      <c r="G1552">
        <v>217</v>
      </c>
      <c r="H1552">
        <v>1</v>
      </c>
      <c r="I1552">
        <v>3</v>
      </c>
      <c r="J1552">
        <v>0.109052747711589</v>
      </c>
      <c r="L1552">
        <v>-8.0561374087138593E-3</v>
      </c>
      <c r="M1552">
        <v>1</v>
      </c>
      <c r="O1552">
        <v>-8.0561374087138593E-3</v>
      </c>
    </row>
    <row r="1553" spans="1:15" hidden="1" x14ac:dyDescent="0.3">
      <c r="A1553" t="s">
        <v>58</v>
      </c>
      <c r="B1553" t="s">
        <v>219</v>
      </c>
      <c r="C1553">
        <v>0</v>
      </c>
      <c r="D1553">
        <v>4</v>
      </c>
      <c r="E1553">
        <v>1</v>
      </c>
      <c r="F1553">
        <v>212</v>
      </c>
      <c r="G1553">
        <v>217</v>
      </c>
      <c r="H1553">
        <v>1</v>
      </c>
      <c r="I1553">
        <v>4</v>
      </c>
      <c r="J1553">
        <v>0.124826680957052</v>
      </c>
      <c r="L1553">
        <v>-9.3242373144076501E-3</v>
      </c>
      <c r="M1553">
        <v>1</v>
      </c>
      <c r="O1553">
        <v>-9.3242373144076501E-3</v>
      </c>
    </row>
    <row r="1554" spans="1:15" hidden="1" x14ac:dyDescent="0.3">
      <c r="A1554" t="s">
        <v>58</v>
      </c>
      <c r="B1554" t="s">
        <v>220</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58</v>
      </c>
      <c r="B1555" t="s">
        <v>201</v>
      </c>
      <c r="C1555">
        <v>0</v>
      </c>
      <c r="D1555">
        <v>4</v>
      </c>
      <c r="E1555">
        <v>1</v>
      </c>
      <c r="F1555">
        <v>212</v>
      </c>
      <c r="G1555">
        <v>217</v>
      </c>
      <c r="H1555">
        <v>1</v>
      </c>
      <c r="I1555">
        <v>4</v>
      </c>
      <c r="J1555">
        <v>0.124826680957052</v>
      </c>
      <c r="L1555">
        <v>-9.3242373144076501E-3</v>
      </c>
      <c r="M1555">
        <v>1</v>
      </c>
      <c r="O1555">
        <v>-9.3242373144076501E-3</v>
      </c>
    </row>
    <row r="1556" spans="1:15" hidden="1" x14ac:dyDescent="0.3">
      <c r="A1556" t="s">
        <v>58</v>
      </c>
      <c r="B1556" t="s">
        <v>279</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58</v>
      </c>
      <c r="B1557" t="s">
        <v>262</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58</v>
      </c>
      <c r="B1558" t="s">
        <v>321</v>
      </c>
      <c r="C1558">
        <v>0</v>
      </c>
      <c r="D1558">
        <v>1</v>
      </c>
      <c r="E1558">
        <v>1</v>
      </c>
      <c r="F1558">
        <v>215</v>
      </c>
      <c r="G1558">
        <v>217</v>
      </c>
      <c r="H1558">
        <v>1</v>
      </c>
      <c r="I1558">
        <v>1</v>
      </c>
      <c r="J1558">
        <v>6.4493014968382195E-2</v>
      </c>
      <c r="L1558">
        <v>-4.6296296296296198E-3</v>
      </c>
      <c r="M1558">
        <v>1</v>
      </c>
      <c r="O1558">
        <v>-4.6296296296296198E-3</v>
      </c>
    </row>
    <row r="1559" spans="1:15" hidden="1" x14ac:dyDescent="0.3">
      <c r="A1559" t="s">
        <v>58</v>
      </c>
      <c r="B1559" t="s">
        <v>215</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58</v>
      </c>
      <c r="B1560" t="s">
        <v>253</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58</v>
      </c>
      <c r="B1561" t="s">
        <v>341</v>
      </c>
      <c r="C1561">
        <v>0</v>
      </c>
      <c r="D1561">
        <v>1</v>
      </c>
      <c r="E1561">
        <v>1</v>
      </c>
      <c r="F1561">
        <v>215</v>
      </c>
      <c r="G1561">
        <v>217</v>
      </c>
      <c r="H1561">
        <v>1</v>
      </c>
      <c r="I1561">
        <v>1</v>
      </c>
      <c r="J1561">
        <v>6.4493014968382195E-2</v>
      </c>
      <c r="L1561">
        <v>-4.6296296296296198E-3</v>
      </c>
      <c r="M1561">
        <v>1</v>
      </c>
      <c r="O1561">
        <v>-4.6296296296296198E-3</v>
      </c>
    </row>
    <row r="1562" spans="1:15" hidden="1" x14ac:dyDescent="0.3">
      <c r="A1562" t="s">
        <v>58</v>
      </c>
      <c r="B1562" t="s">
        <v>214</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58</v>
      </c>
      <c r="B1563" t="s">
        <v>168</v>
      </c>
      <c r="C1563">
        <v>0</v>
      </c>
      <c r="D1563">
        <v>5</v>
      </c>
      <c r="E1563">
        <v>1</v>
      </c>
      <c r="F1563">
        <v>211</v>
      </c>
      <c r="G1563">
        <v>217</v>
      </c>
      <c r="H1563">
        <v>1</v>
      </c>
      <c r="I1563">
        <v>5</v>
      </c>
      <c r="J1563">
        <v>0.138492225345964</v>
      </c>
      <c r="L1563">
        <v>-1.0449372136989901E-2</v>
      </c>
      <c r="M1563">
        <v>1</v>
      </c>
      <c r="O1563">
        <v>-1.0449372136989901E-2</v>
      </c>
    </row>
    <row r="1564" spans="1:15" hidden="1" x14ac:dyDescent="0.3">
      <c r="A1564" t="s">
        <v>58</v>
      </c>
      <c r="B1564" t="s">
        <v>352</v>
      </c>
      <c r="C1564">
        <v>0</v>
      </c>
      <c r="D1564">
        <v>1</v>
      </c>
      <c r="E1564">
        <v>1</v>
      </c>
      <c r="F1564">
        <v>215</v>
      </c>
      <c r="G1564">
        <v>217</v>
      </c>
      <c r="H1564">
        <v>1</v>
      </c>
      <c r="I1564">
        <v>1</v>
      </c>
      <c r="J1564">
        <v>6.4493014968382195E-2</v>
      </c>
      <c r="L1564">
        <v>-4.6296296296296198E-3</v>
      </c>
      <c r="M1564">
        <v>1</v>
      </c>
      <c r="O1564">
        <v>-4.6296296296296198E-3</v>
      </c>
    </row>
    <row r="1565" spans="1:15" x14ac:dyDescent="0.3">
      <c r="A1565" t="s">
        <v>58</v>
      </c>
      <c r="B1565" t="s">
        <v>169</v>
      </c>
      <c r="C1565">
        <v>0</v>
      </c>
      <c r="D1565">
        <v>2</v>
      </c>
      <c r="E1565">
        <v>1</v>
      </c>
      <c r="F1565">
        <v>214</v>
      </c>
      <c r="G1565">
        <v>217</v>
      </c>
      <c r="H1565">
        <v>1</v>
      </c>
      <c r="I1565">
        <v>2</v>
      </c>
      <c r="J1565">
        <v>8.9972904061745101E-2</v>
      </c>
      <c r="L1565">
        <v>-6.5624935913179798E-3</v>
      </c>
      <c r="M1565">
        <v>1</v>
      </c>
      <c r="O1565">
        <v>-6.5624935913179798E-3</v>
      </c>
    </row>
    <row r="1566" spans="1:15" x14ac:dyDescent="0.3">
      <c r="A1566" t="s">
        <v>58</v>
      </c>
      <c r="B1566" t="s">
        <v>175</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58</v>
      </c>
      <c r="B1567" t="s">
        <v>340</v>
      </c>
      <c r="C1567">
        <v>0</v>
      </c>
      <c r="D1567">
        <v>1</v>
      </c>
      <c r="E1567">
        <v>1</v>
      </c>
      <c r="F1567">
        <v>215</v>
      </c>
      <c r="G1567">
        <v>217</v>
      </c>
      <c r="H1567">
        <v>1</v>
      </c>
      <c r="I1567">
        <v>1</v>
      </c>
      <c r="J1567">
        <v>6.4493014968382195E-2</v>
      </c>
      <c r="L1567">
        <v>-4.6296296296296198E-3</v>
      </c>
      <c r="M1567">
        <v>1</v>
      </c>
      <c r="O1567">
        <v>-4.6296296296296198E-3</v>
      </c>
    </row>
    <row r="1568" spans="1:15" hidden="1" x14ac:dyDescent="0.3">
      <c r="A1568" t="s">
        <v>58</v>
      </c>
      <c r="B1568" t="s">
        <v>190</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58</v>
      </c>
      <c r="B1569" t="s">
        <v>346</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58</v>
      </c>
      <c r="B1570" t="s">
        <v>309</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58</v>
      </c>
      <c r="B1571" t="s">
        <v>148</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58</v>
      </c>
      <c r="B1572" t="s">
        <v>173</v>
      </c>
      <c r="C1572">
        <v>0</v>
      </c>
      <c r="D1572">
        <v>2</v>
      </c>
      <c r="E1572">
        <v>1</v>
      </c>
      <c r="F1572">
        <v>214</v>
      </c>
      <c r="G1572">
        <v>217</v>
      </c>
      <c r="H1572">
        <v>1</v>
      </c>
      <c r="I1572">
        <v>2</v>
      </c>
      <c r="J1572">
        <v>8.9972904061745101E-2</v>
      </c>
      <c r="L1572">
        <v>-6.5624935913179798E-3</v>
      </c>
      <c r="M1572">
        <v>1</v>
      </c>
      <c r="O1572">
        <v>-6.5624935913179798E-3</v>
      </c>
    </row>
    <row r="1573" spans="1:15" hidden="1" x14ac:dyDescent="0.3">
      <c r="A1573" t="s">
        <v>58</v>
      </c>
      <c r="B1573" t="s">
        <v>217</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58</v>
      </c>
      <c r="B1574" t="s">
        <v>348</v>
      </c>
      <c r="C1574">
        <v>0</v>
      </c>
      <c r="D1574">
        <v>1</v>
      </c>
      <c r="E1574">
        <v>1</v>
      </c>
      <c r="F1574">
        <v>215</v>
      </c>
      <c r="G1574">
        <v>217</v>
      </c>
      <c r="H1574">
        <v>1</v>
      </c>
      <c r="I1574">
        <v>1</v>
      </c>
      <c r="J1574">
        <v>6.4493014968382195E-2</v>
      </c>
      <c r="L1574">
        <v>-4.6296296296296198E-3</v>
      </c>
      <c r="M1574">
        <v>1</v>
      </c>
      <c r="O1574">
        <v>-4.6296296296296198E-3</v>
      </c>
    </row>
    <row r="1575" spans="1:15" hidden="1" x14ac:dyDescent="0.3">
      <c r="A1575" t="s">
        <v>58</v>
      </c>
      <c r="B1575" t="s">
        <v>222</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58</v>
      </c>
      <c r="B1576" t="s">
        <v>269</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58</v>
      </c>
      <c r="B1577" t="s">
        <v>349</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58</v>
      </c>
      <c r="B1578" t="s">
        <v>274</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58</v>
      </c>
      <c r="B1579" t="s">
        <v>316</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58</v>
      </c>
      <c r="B1580" t="s">
        <v>350</v>
      </c>
      <c r="C1580">
        <v>0</v>
      </c>
      <c r="D1580">
        <v>1</v>
      </c>
      <c r="E1580">
        <v>1</v>
      </c>
      <c r="F1580">
        <v>215</v>
      </c>
      <c r="G1580">
        <v>217</v>
      </c>
      <c r="H1580">
        <v>1</v>
      </c>
      <c r="I1580">
        <v>1</v>
      </c>
      <c r="J1580">
        <v>6.4493014968382195E-2</v>
      </c>
      <c r="L1580">
        <v>-4.6296296296296198E-3</v>
      </c>
      <c r="M1580">
        <v>1</v>
      </c>
      <c r="O1580">
        <v>-4.6296296296296198E-3</v>
      </c>
    </row>
    <row r="1581" spans="1:15" hidden="1" x14ac:dyDescent="0.3">
      <c r="A1581" t="s">
        <v>58</v>
      </c>
      <c r="B1581" t="s">
        <v>218</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58</v>
      </c>
      <c r="B1582" t="s">
        <v>261</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58</v>
      </c>
      <c r="B1583" t="s">
        <v>277</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58</v>
      </c>
      <c r="B1584" t="s">
        <v>251</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58</v>
      </c>
      <c r="B1585" t="s">
        <v>259</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58</v>
      </c>
      <c r="B1586" t="s">
        <v>329</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58</v>
      </c>
      <c r="B1587" t="s">
        <v>360</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58</v>
      </c>
      <c r="B1588" t="s">
        <v>358</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58</v>
      </c>
      <c r="B1589" t="s">
        <v>312</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58</v>
      </c>
      <c r="B1590" t="s">
        <v>361</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58</v>
      </c>
      <c r="B1591" t="s">
        <v>288</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58</v>
      </c>
      <c r="B1592" t="s">
        <v>306</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58</v>
      </c>
      <c r="B1593" t="s">
        <v>345</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58</v>
      </c>
      <c r="B1594" t="s">
        <v>338</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58</v>
      </c>
      <c r="B1595" t="s">
        <v>267</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58</v>
      </c>
      <c r="B1596" t="s">
        <v>194</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58</v>
      </c>
      <c r="B1597" t="s">
        <v>328</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58</v>
      </c>
      <c r="B1598" t="s">
        <v>293</v>
      </c>
      <c r="C1598">
        <v>0</v>
      </c>
      <c r="D1598">
        <v>2</v>
      </c>
      <c r="E1598">
        <v>1</v>
      </c>
      <c r="F1598">
        <v>214</v>
      </c>
      <c r="G1598">
        <v>217</v>
      </c>
      <c r="H1598">
        <v>1</v>
      </c>
      <c r="I1598">
        <v>2</v>
      </c>
      <c r="J1598">
        <v>8.9972904061745101E-2</v>
      </c>
      <c r="L1598">
        <v>-6.5624935913179798E-3</v>
      </c>
      <c r="M1598">
        <v>1</v>
      </c>
      <c r="O1598">
        <v>-6.5624935913179798E-3</v>
      </c>
    </row>
    <row r="1599" spans="1:15" hidden="1" x14ac:dyDescent="0.3">
      <c r="A1599" t="s">
        <v>58</v>
      </c>
      <c r="B1599" t="s">
        <v>216</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58</v>
      </c>
      <c r="B1600" t="s">
        <v>297</v>
      </c>
      <c r="C1600">
        <v>0</v>
      </c>
      <c r="D1600">
        <v>1</v>
      </c>
      <c r="E1600">
        <v>1</v>
      </c>
      <c r="F1600">
        <v>215</v>
      </c>
      <c r="G1600">
        <v>217</v>
      </c>
      <c r="H1600">
        <v>1</v>
      </c>
      <c r="I1600">
        <v>1</v>
      </c>
      <c r="J1600">
        <v>6.4493014968382195E-2</v>
      </c>
      <c r="L1600">
        <v>-4.6296296296296198E-3</v>
      </c>
      <c r="M1600">
        <v>1</v>
      </c>
      <c r="O1600">
        <v>-4.6296296296296198E-3</v>
      </c>
    </row>
    <row r="1601" spans="1:15" hidden="1" x14ac:dyDescent="0.3">
      <c r="A1601" t="s">
        <v>58</v>
      </c>
      <c r="B1601" t="s">
        <v>264</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58</v>
      </c>
      <c r="B1602" t="s">
        <v>359</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58</v>
      </c>
      <c r="B1603" t="s">
        <v>313</v>
      </c>
      <c r="C1603">
        <v>0</v>
      </c>
      <c r="D1603">
        <v>1</v>
      </c>
      <c r="E1603">
        <v>1</v>
      </c>
      <c r="F1603">
        <v>215</v>
      </c>
      <c r="G1603">
        <v>217</v>
      </c>
      <c r="H1603">
        <v>1</v>
      </c>
      <c r="I1603">
        <v>1</v>
      </c>
      <c r="J1603">
        <v>6.4493014968382195E-2</v>
      </c>
      <c r="L1603">
        <v>-4.6296296296296198E-3</v>
      </c>
      <c r="M1603">
        <v>1</v>
      </c>
      <c r="O1603">
        <v>-4.6296296296296198E-3</v>
      </c>
    </row>
    <row r="1604" spans="1:15" hidden="1" x14ac:dyDescent="0.3">
      <c r="A1604" t="s">
        <v>58</v>
      </c>
      <c r="B1604" t="s">
        <v>331</v>
      </c>
      <c r="C1604">
        <v>0</v>
      </c>
      <c r="D1604">
        <v>2</v>
      </c>
      <c r="E1604">
        <v>1</v>
      </c>
      <c r="F1604">
        <v>214</v>
      </c>
      <c r="G1604">
        <v>217</v>
      </c>
      <c r="H1604">
        <v>1</v>
      </c>
      <c r="I1604">
        <v>2</v>
      </c>
      <c r="J1604">
        <v>8.9972904061745101E-2</v>
      </c>
      <c r="L1604">
        <v>-6.5624935913179798E-3</v>
      </c>
      <c r="M1604">
        <v>1</v>
      </c>
      <c r="O1604">
        <v>-6.5624935913179798E-3</v>
      </c>
    </row>
    <row r="1605" spans="1:15" hidden="1" x14ac:dyDescent="0.3">
      <c r="A1605" t="s">
        <v>58</v>
      </c>
      <c r="B1605" t="s">
        <v>285</v>
      </c>
      <c r="C1605">
        <v>0</v>
      </c>
      <c r="D1605">
        <v>1</v>
      </c>
      <c r="E1605">
        <v>1</v>
      </c>
      <c r="F1605">
        <v>215</v>
      </c>
      <c r="G1605">
        <v>217</v>
      </c>
      <c r="H1605">
        <v>1</v>
      </c>
      <c r="I1605">
        <v>1</v>
      </c>
      <c r="J1605">
        <v>6.4493014968382195E-2</v>
      </c>
      <c r="L1605">
        <v>-4.6296296296296198E-3</v>
      </c>
      <c r="M1605">
        <v>1</v>
      </c>
      <c r="O1605">
        <v>-4.6296296296296198E-3</v>
      </c>
    </row>
    <row r="1606" spans="1:15" x14ac:dyDescent="0.3">
      <c r="A1606" t="s">
        <v>58</v>
      </c>
      <c r="B1606" t="s">
        <v>152</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58</v>
      </c>
      <c r="B1607" t="s">
        <v>311</v>
      </c>
      <c r="C1607">
        <v>0</v>
      </c>
      <c r="D1607">
        <v>1</v>
      </c>
      <c r="E1607">
        <v>1</v>
      </c>
      <c r="F1607">
        <v>215</v>
      </c>
      <c r="G1607">
        <v>217</v>
      </c>
      <c r="H1607">
        <v>1</v>
      </c>
      <c r="I1607">
        <v>1</v>
      </c>
      <c r="J1607">
        <v>6.4493014968382195E-2</v>
      </c>
      <c r="L1607">
        <v>-4.6296296296296198E-3</v>
      </c>
      <c r="M1607">
        <v>1</v>
      </c>
      <c r="O1607">
        <v>-4.6296296296296198E-3</v>
      </c>
    </row>
    <row r="1608" spans="1:15" hidden="1" x14ac:dyDescent="0.3">
      <c r="A1608" t="s">
        <v>58</v>
      </c>
      <c r="B1608" t="s">
        <v>213</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58</v>
      </c>
      <c r="B1609" t="s">
        <v>330</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58</v>
      </c>
      <c r="B1610" t="s">
        <v>252</v>
      </c>
      <c r="C1610">
        <v>0</v>
      </c>
      <c r="D1610">
        <v>3</v>
      </c>
      <c r="E1610">
        <v>1</v>
      </c>
      <c r="F1610">
        <v>213</v>
      </c>
      <c r="G1610">
        <v>217</v>
      </c>
      <c r="H1610">
        <v>1</v>
      </c>
      <c r="I1610">
        <v>3</v>
      </c>
      <c r="J1610">
        <v>0.109052747711589</v>
      </c>
      <c r="L1610">
        <v>-8.0561374087138593E-3</v>
      </c>
      <c r="M1610">
        <v>1</v>
      </c>
      <c r="O1610">
        <v>-8.0561374087138593E-3</v>
      </c>
    </row>
    <row r="1611" spans="1:15" x14ac:dyDescent="0.3">
      <c r="A1611" t="s">
        <v>58</v>
      </c>
      <c r="B1611" t="s">
        <v>170</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58</v>
      </c>
      <c r="B1612" t="s">
        <v>281</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58</v>
      </c>
      <c r="B1613" t="s">
        <v>324</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58</v>
      </c>
      <c r="B1614" t="s">
        <v>278</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58</v>
      </c>
      <c r="B1615" t="s">
        <v>292</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58</v>
      </c>
      <c r="B1616" t="s">
        <v>172</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58</v>
      </c>
      <c r="B1617" t="s">
        <v>323</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58</v>
      </c>
      <c r="B1618" t="s">
        <v>326</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58</v>
      </c>
      <c r="B1619" t="s">
        <v>325</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58</v>
      </c>
      <c r="B1620" t="s">
        <v>256</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58</v>
      </c>
      <c r="B1621" t="s">
        <v>243</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58</v>
      </c>
      <c r="B1622" t="s">
        <v>327</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58</v>
      </c>
      <c r="B1623" t="s">
        <v>174</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58</v>
      </c>
      <c r="B1624" t="s">
        <v>260</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58</v>
      </c>
      <c r="B1625" t="s">
        <v>280</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58</v>
      </c>
      <c r="B1626" t="s">
        <v>318</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58</v>
      </c>
      <c r="B1627" t="s">
        <v>244</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58</v>
      </c>
      <c r="B1628" t="s">
        <v>336</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58</v>
      </c>
      <c r="B1629" t="s">
        <v>304</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58</v>
      </c>
      <c r="B1630" t="s">
        <v>270</v>
      </c>
      <c r="C1630">
        <v>0</v>
      </c>
      <c r="D1630">
        <v>3</v>
      </c>
      <c r="E1630">
        <v>1</v>
      </c>
      <c r="F1630">
        <v>213</v>
      </c>
      <c r="G1630">
        <v>217</v>
      </c>
      <c r="H1630">
        <v>1</v>
      </c>
      <c r="I1630">
        <v>3</v>
      </c>
      <c r="J1630">
        <v>0.109052747711589</v>
      </c>
      <c r="L1630">
        <v>-8.0561374087138593E-3</v>
      </c>
      <c r="M1630">
        <v>1</v>
      </c>
      <c r="O1630">
        <v>-8.0561374087138593E-3</v>
      </c>
    </row>
    <row r="1631" spans="1:15" x14ac:dyDescent="0.3">
      <c r="A1631" t="s">
        <v>58</v>
      </c>
      <c r="B1631" t="s">
        <v>257</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58</v>
      </c>
      <c r="B1632" t="s">
        <v>307</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58</v>
      </c>
      <c r="B1633" t="s">
        <v>286</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58</v>
      </c>
      <c r="B1634" t="s">
        <v>198</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58</v>
      </c>
      <c r="B1635" t="s">
        <v>289</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58</v>
      </c>
      <c r="B1636" t="s">
        <v>282</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58</v>
      </c>
      <c r="B1637" t="s">
        <v>291</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64</v>
      </c>
      <c r="B1638" t="s">
        <v>3</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64</v>
      </c>
      <c r="B1639" t="s">
        <v>1</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64</v>
      </c>
      <c r="B1640" t="s">
        <v>314</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64</v>
      </c>
      <c r="B1641" t="s">
        <v>357</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64</v>
      </c>
      <c r="B1642" t="s">
        <v>356</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64</v>
      </c>
      <c r="B1643" t="s">
        <v>273</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64</v>
      </c>
      <c r="B1644" t="s">
        <v>242</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64</v>
      </c>
      <c r="B1645" t="s">
        <v>332</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64</v>
      </c>
      <c r="B1646" t="s">
        <v>355</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64</v>
      </c>
      <c r="B1647" t="s">
        <v>335</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64</v>
      </c>
      <c r="B1648" t="s">
        <v>266</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64</v>
      </c>
      <c r="B1649" t="s">
        <v>272</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64</v>
      </c>
      <c r="B1650" t="s">
        <v>310</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64</v>
      </c>
      <c r="B1651" t="s">
        <v>317</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64</v>
      </c>
      <c r="B1652" t="s">
        <v>9</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64</v>
      </c>
      <c r="B1653" t="s">
        <v>362</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64</v>
      </c>
      <c r="B1654" t="s">
        <v>354</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64</v>
      </c>
      <c r="B1655" t="s">
        <v>353</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64</v>
      </c>
      <c r="B1656" t="s">
        <v>363</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64</v>
      </c>
      <c r="B1657" t="s">
        <v>305</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64</v>
      </c>
      <c r="B1658" t="s">
        <v>339</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64</v>
      </c>
      <c r="B1659" t="s">
        <v>248</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64</v>
      </c>
      <c r="B1660" t="s">
        <v>342</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64</v>
      </c>
      <c r="B1661" t="s">
        <v>315</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64</v>
      </c>
      <c r="B1662" t="s">
        <v>247</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64</v>
      </c>
      <c r="B1663" t="s">
        <v>241</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64</v>
      </c>
      <c r="B1664" t="s">
        <v>334</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64</v>
      </c>
      <c r="B1665" t="s">
        <v>300</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64</v>
      </c>
      <c r="B1666" t="s">
        <v>265</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64</v>
      </c>
      <c r="B1667" t="s">
        <v>271</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64</v>
      </c>
      <c r="B1668" t="s">
        <v>255</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64</v>
      </c>
      <c r="B1669" t="s">
        <v>296</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64</v>
      </c>
      <c r="B1670" t="s">
        <v>249</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64</v>
      </c>
      <c r="B1671" t="s">
        <v>308</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64</v>
      </c>
      <c r="B1672" t="s">
        <v>319</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64</v>
      </c>
      <c r="B1673" t="s">
        <v>245</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64</v>
      </c>
      <c r="B1674" t="s">
        <v>240</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64</v>
      </c>
      <c r="B1675" t="s">
        <v>343</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64</v>
      </c>
      <c r="B1676" t="s">
        <v>258</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64</v>
      </c>
      <c r="B1677" t="s">
        <v>344</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64</v>
      </c>
      <c r="B1678" t="s">
        <v>276</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64</v>
      </c>
      <c r="B1679" t="s">
        <v>333</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64</v>
      </c>
      <c r="B1680" t="s">
        <v>263</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64</v>
      </c>
      <c r="B1681" t="s">
        <v>254</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64</v>
      </c>
      <c r="B1682" t="s">
        <v>320</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64</v>
      </c>
      <c r="B1683" t="s">
        <v>275</v>
      </c>
      <c r="C1683">
        <v>0</v>
      </c>
      <c r="D1683">
        <v>11</v>
      </c>
      <c r="E1683">
        <v>1</v>
      </c>
      <c r="F1683">
        <v>205</v>
      </c>
      <c r="G1683">
        <v>217</v>
      </c>
      <c r="H1683">
        <v>1</v>
      </c>
      <c r="I1683">
        <v>11</v>
      </c>
      <c r="J1683">
        <v>0.19837015644199599</v>
      </c>
      <c r="L1683">
        <v>-1.5723016016341299E-2</v>
      </c>
      <c r="M1683">
        <v>1</v>
      </c>
      <c r="O1683">
        <v>-1.5723016016341299E-2</v>
      </c>
    </row>
    <row r="1684" spans="1:15" hidden="1" x14ac:dyDescent="0.3">
      <c r="A1684" t="s">
        <v>64</v>
      </c>
      <c r="B1684" t="s">
        <v>221</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64</v>
      </c>
      <c r="B1685" t="s">
        <v>322</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64</v>
      </c>
      <c r="B1686" t="s">
        <v>303</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64</v>
      </c>
      <c r="B1687" t="s">
        <v>302</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64</v>
      </c>
      <c r="B1688" t="s">
        <v>147</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64</v>
      </c>
      <c r="B1689" t="s">
        <v>284</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64</v>
      </c>
      <c r="B1690" t="s">
        <v>299</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64</v>
      </c>
      <c r="B1691" t="s">
        <v>301</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64</v>
      </c>
      <c r="B1692" t="s">
        <v>268</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64</v>
      </c>
      <c r="B1693" t="s">
        <v>290</v>
      </c>
      <c r="C1693">
        <v>0</v>
      </c>
      <c r="D1693">
        <v>1</v>
      </c>
      <c r="E1693">
        <v>1</v>
      </c>
      <c r="F1693">
        <v>215</v>
      </c>
      <c r="G1693">
        <v>217</v>
      </c>
      <c r="H1693">
        <v>1</v>
      </c>
      <c r="I1693">
        <v>1</v>
      </c>
      <c r="J1693">
        <v>6.4493014968382195E-2</v>
      </c>
      <c r="L1693">
        <v>-4.6296296296296198E-3</v>
      </c>
      <c r="M1693">
        <v>1</v>
      </c>
      <c r="O1693">
        <v>-4.6296296296296198E-3</v>
      </c>
    </row>
    <row r="1694" spans="1:15" hidden="1" x14ac:dyDescent="0.3">
      <c r="A1694" t="s">
        <v>64</v>
      </c>
      <c r="B1694" t="s">
        <v>351</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64</v>
      </c>
      <c r="B1695" t="s">
        <v>337</v>
      </c>
      <c r="C1695">
        <v>0</v>
      </c>
      <c r="D1695">
        <v>3</v>
      </c>
      <c r="E1695">
        <v>1</v>
      </c>
      <c r="F1695">
        <v>213</v>
      </c>
      <c r="G1695">
        <v>217</v>
      </c>
      <c r="H1695">
        <v>1</v>
      </c>
      <c r="I1695">
        <v>3</v>
      </c>
      <c r="J1695">
        <v>0.109052747711589</v>
      </c>
      <c r="L1695">
        <v>-8.0561374087138593E-3</v>
      </c>
      <c r="M1695">
        <v>1</v>
      </c>
      <c r="O1695">
        <v>-8.0561374087138593E-3</v>
      </c>
    </row>
    <row r="1696" spans="1:15" hidden="1" x14ac:dyDescent="0.3">
      <c r="A1696" t="s">
        <v>64</v>
      </c>
      <c r="B1696" t="s">
        <v>212</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64</v>
      </c>
      <c r="B1697" t="s">
        <v>250</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64</v>
      </c>
      <c r="B1698" t="s">
        <v>246</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64</v>
      </c>
      <c r="B1699" t="s">
        <v>347</v>
      </c>
      <c r="C1699">
        <v>0</v>
      </c>
      <c r="D1699">
        <v>1</v>
      </c>
      <c r="E1699">
        <v>1</v>
      </c>
      <c r="F1699">
        <v>215</v>
      </c>
      <c r="G1699">
        <v>217</v>
      </c>
      <c r="H1699">
        <v>1</v>
      </c>
      <c r="I1699">
        <v>1</v>
      </c>
      <c r="J1699">
        <v>6.4493014968382195E-2</v>
      </c>
      <c r="L1699">
        <v>-4.6296296296296198E-3</v>
      </c>
      <c r="M1699">
        <v>1</v>
      </c>
      <c r="O1699">
        <v>-4.6296296296296198E-3</v>
      </c>
    </row>
    <row r="1700" spans="1:15" hidden="1" x14ac:dyDescent="0.3">
      <c r="A1700" t="s">
        <v>64</v>
      </c>
      <c r="B1700" t="s">
        <v>153</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64</v>
      </c>
      <c r="B1701" t="s">
        <v>283</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64</v>
      </c>
      <c r="B1702" t="s">
        <v>5</v>
      </c>
      <c r="C1702">
        <v>0</v>
      </c>
      <c r="D1702">
        <v>3</v>
      </c>
      <c r="E1702">
        <v>1</v>
      </c>
      <c r="F1702">
        <v>213</v>
      </c>
      <c r="G1702">
        <v>217</v>
      </c>
      <c r="H1702">
        <v>1</v>
      </c>
      <c r="I1702">
        <v>3</v>
      </c>
      <c r="J1702">
        <v>0.109052747711589</v>
      </c>
      <c r="L1702">
        <v>-8.0561374087138593E-3</v>
      </c>
      <c r="M1702">
        <v>1</v>
      </c>
      <c r="O1702">
        <v>-8.0561374087138593E-3</v>
      </c>
    </row>
    <row r="1703" spans="1:15" hidden="1" x14ac:dyDescent="0.3">
      <c r="A1703" t="s">
        <v>64</v>
      </c>
      <c r="B1703" t="s">
        <v>219</v>
      </c>
      <c r="C1703">
        <v>0</v>
      </c>
      <c r="D1703">
        <v>4</v>
      </c>
      <c r="E1703">
        <v>1</v>
      </c>
      <c r="F1703">
        <v>212</v>
      </c>
      <c r="G1703">
        <v>217</v>
      </c>
      <c r="H1703">
        <v>1</v>
      </c>
      <c r="I1703">
        <v>4</v>
      </c>
      <c r="J1703">
        <v>0.124826680957052</v>
      </c>
      <c r="L1703">
        <v>-9.3242373144076501E-3</v>
      </c>
      <c r="M1703">
        <v>1</v>
      </c>
      <c r="O1703">
        <v>-9.3242373144076501E-3</v>
      </c>
    </row>
    <row r="1704" spans="1:15" hidden="1" x14ac:dyDescent="0.3">
      <c r="A1704" t="s">
        <v>64</v>
      </c>
      <c r="B1704" t="s">
        <v>220</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64</v>
      </c>
      <c r="B1705" t="s">
        <v>201</v>
      </c>
      <c r="C1705">
        <v>0</v>
      </c>
      <c r="D1705">
        <v>4</v>
      </c>
      <c r="E1705">
        <v>1</v>
      </c>
      <c r="F1705">
        <v>212</v>
      </c>
      <c r="G1705">
        <v>217</v>
      </c>
      <c r="H1705">
        <v>1</v>
      </c>
      <c r="I1705">
        <v>4</v>
      </c>
      <c r="J1705">
        <v>0.124826680957052</v>
      </c>
      <c r="L1705">
        <v>-9.3242373144076501E-3</v>
      </c>
      <c r="M1705">
        <v>1</v>
      </c>
      <c r="O1705">
        <v>-9.3242373144076501E-3</v>
      </c>
    </row>
    <row r="1706" spans="1:15" hidden="1" x14ac:dyDescent="0.3">
      <c r="A1706" t="s">
        <v>64</v>
      </c>
      <c r="B1706" t="s">
        <v>279</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64</v>
      </c>
      <c r="B1707" t="s">
        <v>262</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64</v>
      </c>
      <c r="B1708" t="s">
        <v>321</v>
      </c>
      <c r="C1708">
        <v>0</v>
      </c>
      <c r="D1708">
        <v>1</v>
      </c>
      <c r="E1708">
        <v>1</v>
      </c>
      <c r="F1708">
        <v>215</v>
      </c>
      <c r="G1708">
        <v>217</v>
      </c>
      <c r="H1708">
        <v>1</v>
      </c>
      <c r="I1708">
        <v>1</v>
      </c>
      <c r="J1708">
        <v>6.4493014968382195E-2</v>
      </c>
      <c r="L1708">
        <v>-4.6296296296296198E-3</v>
      </c>
      <c r="M1708">
        <v>1</v>
      </c>
      <c r="O1708">
        <v>-4.6296296296296198E-3</v>
      </c>
    </row>
    <row r="1709" spans="1:15" hidden="1" x14ac:dyDescent="0.3">
      <c r="A1709" t="s">
        <v>64</v>
      </c>
      <c r="B1709" t="s">
        <v>215</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64</v>
      </c>
      <c r="B1710" t="s">
        <v>253</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64</v>
      </c>
      <c r="B1711" t="s">
        <v>341</v>
      </c>
      <c r="C1711">
        <v>0</v>
      </c>
      <c r="D1711">
        <v>1</v>
      </c>
      <c r="E1711">
        <v>1</v>
      </c>
      <c r="F1711">
        <v>215</v>
      </c>
      <c r="G1711">
        <v>217</v>
      </c>
      <c r="H1711">
        <v>1</v>
      </c>
      <c r="I1711">
        <v>1</v>
      </c>
      <c r="J1711">
        <v>6.4493014968382195E-2</v>
      </c>
      <c r="L1711">
        <v>-4.6296296296296198E-3</v>
      </c>
      <c r="M1711">
        <v>1</v>
      </c>
      <c r="O1711">
        <v>-4.6296296296296198E-3</v>
      </c>
    </row>
    <row r="1712" spans="1:15" hidden="1" x14ac:dyDescent="0.3">
      <c r="A1712" t="s">
        <v>64</v>
      </c>
      <c r="B1712" t="s">
        <v>214</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64</v>
      </c>
      <c r="B1713" t="s">
        <v>168</v>
      </c>
      <c r="C1713">
        <v>0</v>
      </c>
      <c r="D1713">
        <v>5</v>
      </c>
      <c r="E1713">
        <v>1</v>
      </c>
      <c r="F1713">
        <v>211</v>
      </c>
      <c r="G1713">
        <v>217</v>
      </c>
      <c r="H1713">
        <v>1</v>
      </c>
      <c r="I1713">
        <v>5</v>
      </c>
      <c r="J1713">
        <v>0.138492225345964</v>
      </c>
      <c r="L1713">
        <v>-1.0449372136989901E-2</v>
      </c>
      <c r="M1713">
        <v>1</v>
      </c>
      <c r="O1713">
        <v>-1.0449372136989901E-2</v>
      </c>
    </row>
    <row r="1714" spans="1:15" hidden="1" x14ac:dyDescent="0.3">
      <c r="A1714" t="s">
        <v>64</v>
      </c>
      <c r="B1714" t="s">
        <v>352</v>
      </c>
      <c r="C1714">
        <v>0</v>
      </c>
      <c r="D1714">
        <v>1</v>
      </c>
      <c r="E1714">
        <v>1</v>
      </c>
      <c r="F1714">
        <v>215</v>
      </c>
      <c r="G1714">
        <v>217</v>
      </c>
      <c r="H1714">
        <v>1</v>
      </c>
      <c r="I1714">
        <v>1</v>
      </c>
      <c r="J1714">
        <v>6.4493014968382195E-2</v>
      </c>
      <c r="L1714">
        <v>-4.6296296296296198E-3</v>
      </c>
      <c r="M1714">
        <v>1</v>
      </c>
      <c r="O1714">
        <v>-4.6296296296296198E-3</v>
      </c>
    </row>
    <row r="1715" spans="1:15" x14ac:dyDescent="0.3">
      <c r="A1715" t="s">
        <v>64</v>
      </c>
      <c r="B1715" t="s">
        <v>169</v>
      </c>
      <c r="C1715">
        <v>0</v>
      </c>
      <c r="D1715">
        <v>2</v>
      </c>
      <c r="E1715">
        <v>1</v>
      </c>
      <c r="F1715">
        <v>214</v>
      </c>
      <c r="G1715">
        <v>217</v>
      </c>
      <c r="H1715">
        <v>1</v>
      </c>
      <c r="I1715">
        <v>2</v>
      </c>
      <c r="J1715">
        <v>8.9972904061745101E-2</v>
      </c>
      <c r="L1715">
        <v>-6.5624935913179798E-3</v>
      </c>
      <c r="M1715">
        <v>1</v>
      </c>
      <c r="O1715">
        <v>-6.5624935913179798E-3</v>
      </c>
    </row>
    <row r="1716" spans="1:15" x14ac:dyDescent="0.3">
      <c r="A1716" t="s">
        <v>64</v>
      </c>
      <c r="B1716" t="s">
        <v>175</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64</v>
      </c>
      <c r="B1717" t="s">
        <v>340</v>
      </c>
      <c r="C1717">
        <v>0</v>
      </c>
      <c r="D1717">
        <v>1</v>
      </c>
      <c r="E1717">
        <v>1</v>
      </c>
      <c r="F1717">
        <v>215</v>
      </c>
      <c r="G1717">
        <v>217</v>
      </c>
      <c r="H1717">
        <v>1</v>
      </c>
      <c r="I1717">
        <v>1</v>
      </c>
      <c r="J1717">
        <v>6.4493014968382195E-2</v>
      </c>
      <c r="L1717">
        <v>-4.6296296296296198E-3</v>
      </c>
      <c r="M1717">
        <v>1</v>
      </c>
      <c r="O1717">
        <v>-4.6296296296296198E-3</v>
      </c>
    </row>
    <row r="1718" spans="1:15" hidden="1" x14ac:dyDescent="0.3">
      <c r="A1718" t="s">
        <v>64</v>
      </c>
      <c r="B1718" t="s">
        <v>190</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64</v>
      </c>
      <c r="B1719" t="s">
        <v>346</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64</v>
      </c>
      <c r="B1720" t="s">
        <v>309</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64</v>
      </c>
      <c r="B1721" t="s">
        <v>148</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64</v>
      </c>
      <c r="B1722" t="s">
        <v>173</v>
      </c>
      <c r="C1722">
        <v>0</v>
      </c>
      <c r="D1722">
        <v>2</v>
      </c>
      <c r="E1722">
        <v>1</v>
      </c>
      <c r="F1722">
        <v>214</v>
      </c>
      <c r="G1722">
        <v>217</v>
      </c>
      <c r="H1722">
        <v>1</v>
      </c>
      <c r="I1722">
        <v>2</v>
      </c>
      <c r="J1722">
        <v>8.9972904061745101E-2</v>
      </c>
      <c r="L1722">
        <v>-6.5624935913179798E-3</v>
      </c>
      <c r="M1722">
        <v>1</v>
      </c>
      <c r="O1722">
        <v>-6.5624935913179798E-3</v>
      </c>
    </row>
    <row r="1723" spans="1:15" hidden="1" x14ac:dyDescent="0.3">
      <c r="A1723" t="s">
        <v>64</v>
      </c>
      <c r="B1723" t="s">
        <v>217</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64</v>
      </c>
      <c r="B1724" t="s">
        <v>348</v>
      </c>
      <c r="C1724">
        <v>0</v>
      </c>
      <c r="D1724">
        <v>1</v>
      </c>
      <c r="E1724">
        <v>1</v>
      </c>
      <c r="F1724">
        <v>215</v>
      </c>
      <c r="G1724">
        <v>217</v>
      </c>
      <c r="H1724">
        <v>1</v>
      </c>
      <c r="I1724">
        <v>1</v>
      </c>
      <c r="J1724">
        <v>6.4493014968382195E-2</v>
      </c>
      <c r="L1724">
        <v>-4.6296296296296198E-3</v>
      </c>
      <c r="M1724">
        <v>1</v>
      </c>
      <c r="O1724">
        <v>-4.6296296296296198E-3</v>
      </c>
    </row>
    <row r="1725" spans="1:15" hidden="1" x14ac:dyDescent="0.3">
      <c r="A1725" t="s">
        <v>64</v>
      </c>
      <c r="B1725" t="s">
        <v>222</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64</v>
      </c>
      <c r="B1726" t="s">
        <v>269</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64</v>
      </c>
      <c r="B1727" t="s">
        <v>349</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64</v>
      </c>
      <c r="B1728" t="s">
        <v>274</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64</v>
      </c>
      <c r="B1729" t="s">
        <v>316</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64</v>
      </c>
      <c r="B1730" t="s">
        <v>350</v>
      </c>
      <c r="C1730">
        <v>0</v>
      </c>
      <c r="D1730">
        <v>1</v>
      </c>
      <c r="E1730">
        <v>1</v>
      </c>
      <c r="F1730">
        <v>215</v>
      </c>
      <c r="G1730">
        <v>217</v>
      </c>
      <c r="H1730">
        <v>1</v>
      </c>
      <c r="I1730">
        <v>1</v>
      </c>
      <c r="J1730">
        <v>6.4493014968382195E-2</v>
      </c>
      <c r="L1730">
        <v>-4.6296296296296198E-3</v>
      </c>
      <c r="M1730">
        <v>1</v>
      </c>
      <c r="O1730">
        <v>-4.6296296296296198E-3</v>
      </c>
    </row>
    <row r="1731" spans="1:15" hidden="1" x14ac:dyDescent="0.3">
      <c r="A1731" t="s">
        <v>64</v>
      </c>
      <c r="B1731" t="s">
        <v>218</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64</v>
      </c>
      <c r="B1732" t="s">
        <v>261</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64</v>
      </c>
      <c r="B1733" t="s">
        <v>277</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64</v>
      </c>
      <c r="B1734" t="s">
        <v>251</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64</v>
      </c>
      <c r="B1735" t="s">
        <v>259</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64</v>
      </c>
      <c r="B1736" t="s">
        <v>329</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64</v>
      </c>
      <c r="B1737" t="s">
        <v>360</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64</v>
      </c>
      <c r="B1738" t="s">
        <v>358</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64</v>
      </c>
      <c r="B1739" t="s">
        <v>312</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64</v>
      </c>
      <c r="B1740" t="s">
        <v>361</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64</v>
      </c>
      <c r="B1741" t="s">
        <v>288</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64</v>
      </c>
      <c r="B1742" t="s">
        <v>306</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64</v>
      </c>
      <c r="B1743" t="s">
        <v>345</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64</v>
      </c>
      <c r="B1744" t="s">
        <v>338</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64</v>
      </c>
      <c r="B1745" t="s">
        <v>267</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64</v>
      </c>
      <c r="B1746" t="s">
        <v>194</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64</v>
      </c>
      <c r="B1747" t="s">
        <v>328</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64</v>
      </c>
      <c r="B1748" t="s">
        <v>293</v>
      </c>
      <c r="C1748">
        <v>0</v>
      </c>
      <c r="D1748">
        <v>2</v>
      </c>
      <c r="E1748">
        <v>1</v>
      </c>
      <c r="F1748">
        <v>214</v>
      </c>
      <c r="G1748">
        <v>217</v>
      </c>
      <c r="H1748">
        <v>1</v>
      </c>
      <c r="I1748">
        <v>2</v>
      </c>
      <c r="J1748">
        <v>8.9972904061745101E-2</v>
      </c>
      <c r="L1748">
        <v>-6.5624935913179798E-3</v>
      </c>
      <c r="M1748">
        <v>1</v>
      </c>
      <c r="O1748">
        <v>-6.5624935913179798E-3</v>
      </c>
    </row>
    <row r="1749" spans="1:15" hidden="1" x14ac:dyDescent="0.3">
      <c r="A1749" t="s">
        <v>64</v>
      </c>
      <c r="B1749" t="s">
        <v>216</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64</v>
      </c>
      <c r="B1750" t="s">
        <v>297</v>
      </c>
      <c r="C1750">
        <v>0</v>
      </c>
      <c r="D1750">
        <v>1</v>
      </c>
      <c r="E1750">
        <v>1</v>
      </c>
      <c r="F1750">
        <v>215</v>
      </c>
      <c r="G1750">
        <v>217</v>
      </c>
      <c r="H1750">
        <v>1</v>
      </c>
      <c r="I1750">
        <v>1</v>
      </c>
      <c r="J1750">
        <v>6.4493014968382195E-2</v>
      </c>
      <c r="L1750">
        <v>-4.6296296296296198E-3</v>
      </c>
      <c r="M1750">
        <v>1</v>
      </c>
      <c r="O1750">
        <v>-4.6296296296296198E-3</v>
      </c>
    </row>
    <row r="1751" spans="1:15" hidden="1" x14ac:dyDescent="0.3">
      <c r="A1751" t="s">
        <v>64</v>
      </c>
      <c r="B1751" t="s">
        <v>264</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64</v>
      </c>
      <c r="B1752" t="s">
        <v>359</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64</v>
      </c>
      <c r="B1753" t="s">
        <v>313</v>
      </c>
      <c r="C1753">
        <v>0</v>
      </c>
      <c r="D1753">
        <v>1</v>
      </c>
      <c r="E1753">
        <v>1</v>
      </c>
      <c r="F1753">
        <v>215</v>
      </c>
      <c r="G1753">
        <v>217</v>
      </c>
      <c r="H1753">
        <v>1</v>
      </c>
      <c r="I1753">
        <v>1</v>
      </c>
      <c r="J1753">
        <v>6.4493014968382195E-2</v>
      </c>
      <c r="L1753">
        <v>-4.6296296296296198E-3</v>
      </c>
      <c r="M1753">
        <v>1</v>
      </c>
      <c r="O1753">
        <v>-4.6296296296296198E-3</v>
      </c>
    </row>
    <row r="1754" spans="1:15" hidden="1" x14ac:dyDescent="0.3">
      <c r="A1754" t="s">
        <v>64</v>
      </c>
      <c r="B1754" t="s">
        <v>331</v>
      </c>
      <c r="C1754">
        <v>0</v>
      </c>
      <c r="D1754">
        <v>2</v>
      </c>
      <c r="E1754">
        <v>1</v>
      </c>
      <c r="F1754">
        <v>214</v>
      </c>
      <c r="G1754">
        <v>217</v>
      </c>
      <c r="H1754">
        <v>1</v>
      </c>
      <c r="I1754">
        <v>2</v>
      </c>
      <c r="J1754">
        <v>8.9972904061745101E-2</v>
      </c>
      <c r="L1754">
        <v>-6.5624935913179798E-3</v>
      </c>
      <c r="M1754">
        <v>1</v>
      </c>
      <c r="O1754">
        <v>-6.5624935913179798E-3</v>
      </c>
    </row>
    <row r="1755" spans="1:15" hidden="1" x14ac:dyDescent="0.3">
      <c r="A1755" t="s">
        <v>64</v>
      </c>
      <c r="B1755" t="s">
        <v>285</v>
      </c>
      <c r="C1755">
        <v>0</v>
      </c>
      <c r="D1755">
        <v>1</v>
      </c>
      <c r="E1755">
        <v>1</v>
      </c>
      <c r="F1755">
        <v>215</v>
      </c>
      <c r="G1755">
        <v>217</v>
      </c>
      <c r="H1755">
        <v>1</v>
      </c>
      <c r="I1755">
        <v>1</v>
      </c>
      <c r="J1755">
        <v>6.4493014968382195E-2</v>
      </c>
      <c r="L1755">
        <v>-4.6296296296296198E-3</v>
      </c>
      <c r="M1755">
        <v>1</v>
      </c>
      <c r="O1755">
        <v>-4.6296296296296198E-3</v>
      </c>
    </row>
    <row r="1756" spans="1:15" x14ac:dyDescent="0.3">
      <c r="A1756" t="s">
        <v>64</v>
      </c>
      <c r="B1756" t="s">
        <v>152</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64</v>
      </c>
      <c r="B1757" t="s">
        <v>311</v>
      </c>
      <c r="C1757">
        <v>0</v>
      </c>
      <c r="D1757">
        <v>1</v>
      </c>
      <c r="E1757">
        <v>1</v>
      </c>
      <c r="F1757">
        <v>215</v>
      </c>
      <c r="G1757">
        <v>217</v>
      </c>
      <c r="H1757">
        <v>1</v>
      </c>
      <c r="I1757">
        <v>1</v>
      </c>
      <c r="J1757">
        <v>6.4493014968382195E-2</v>
      </c>
      <c r="L1757">
        <v>-4.6296296296296198E-3</v>
      </c>
      <c r="M1757">
        <v>1</v>
      </c>
      <c r="O1757">
        <v>-4.6296296296296198E-3</v>
      </c>
    </row>
    <row r="1758" spans="1:15" hidden="1" x14ac:dyDescent="0.3">
      <c r="A1758" t="s">
        <v>64</v>
      </c>
      <c r="B1758" t="s">
        <v>213</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64</v>
      </c>
      <c r="B1759" t="s">
        <v>330</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64</v>
      </c>
      <c r="B1760" t="s">
        <v>252</v>
      </c>
      <c r="C1760">
        <v>0</v>
      </c>
      <c r="D1760">
        <v>3</v>
      </c>
      <c r="E1760">
        <v>1</v>
      </c>
      <c r="F1760">
        <v>213</v>
      </c>
      <c r="G1760">
        <v>217</v>
      </c>
      <c r="H1760">
        <v>1</v>
      </c>
      <c r="I1760">
        <v>3</v>
      </c>
      <c r="J1760">
        <v>0.109052747711589</v>
      </c>
      <c r="L1760">
        <v>-8.0561374087138593E-3</v>
      </c>
      <c r="M1760">
        <v>1</v>
      </c>
      <c r="O1760">
        <v>-8.0561374087138593E-3</v>
      </c>
    </row>
    <row r="1761" spans="1:15" x14ac:dyDescent="0.3">
      <c r="A1761" t="s">
        <v>64</v>
      </c>
      <c r="B1761" t="s">
        <v>170</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64</v>
      </c>
      <c r="B1762" t="s">
        <v>281</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64</v>
      </c>
      <c r="B1763" t="s">
        <v>324</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64</v>
      </c>
      <c r="B1764" t="s">
        <v>278</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64</v>
      </c>
      <c r="B1765" t="s">
        <v>292</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64</v>
      </c>
      <c r="B1766" t="s">
        <v>172</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64</v>
      </c>
      <c r="B1767" t="s">
        <v>323</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64</v>
      </c>
      <c r="B1768" t="s">
        <v>326</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64</v>
      </c>
      <c r="B1769" t="s">
        <v>325</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64</v>
      </c>
      <c r="B1770" t="s">
        <v>256</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64</v>
      </c>
      <c r="B1771" t="s">
        <v>243</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64</v>
      </c>
      <c r="B1772" t="s">
        <v>327</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64</v>
      </c>
      <c r="B1773" t="s">
        <v>174</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64</v>
      </c>
      <c r="B1774" t="s">
        <v>260</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64</v>
      </c>
      <c r="B1775" t="s">
        <v>280</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64</v>
      </c>
      <c r="B1776" t="s">
        <v>318</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64</v>
      </c>
      <c r="B1777" t="s">
        <v>244</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64</v>
      </c>
      <c r="B1778" t="s">
        <v>336</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64</v>
      </c>
      <c r="B1779" t="s">
        <v>304</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64</v>
      </c>
      <c r="B1780" t="s">
        <v>270</v>
      </c>
      <c r="C1780">
        <v>0</v>
      </c>
      <c r="D1780">
        <v>3</v>
      </c>
      <c r="E1780">
        <v>1</v>
      </c>
      <c r="F1780">
        <v>213</v>
      </c>
      <c r="G1780">
        <v>217</v>
      </c>
      <c r="H1780">
        <v>1</v>
      </c>
      <c r="I1780">
        <v>3</v>
      </c>
      <c r="J1780">
        <v>0.109052747711589</v>
      </c>
      <c r="L1780">
        <v>-8.0561374087138593E-3</v>
      </c>
      <c r="M1780">
        <v>1</v>
      </c>
      <c r="O1780">
        <v>-8.0561374087138593E-3</v>
      </c>
    </row>
    <row r="1781" spans="1:15" x14ac:dyDescent="0.3">
      <c r="A1781" t="s">
        <v>64</v>
      </c>
      <c r="B1781" t="s">
        <v>257</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64</v>
      </c>
      <c r="B1782" t="s">
        <v>307</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64</v>
      </c>
      <c r="B1783" t="s">
        <v>286</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64</v>
      </c>
      <c r="B1784" t="s">
        <v>198</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64</v>
      </c>
      <c r="B1785" t="s">
        <v>289</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64</v>
      </c>
      <c r="B1786" t="s">
        <v>282</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64</v>
      </c>
      <c r="B1787" t="s">
        <v>291</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70</v>
      </c>
      <c r="B1788" t="s">
        <v>3</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70</v>
      </c>
      <c r="B1789" t="s">
        <v>314</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70</v>
      </c>
      <c r="B1790" t="s">
        <v>357</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70</v>
      </c>
      <c r="B1791" t="s">
        <v>356</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70</v>
      </c>
      <c r="B1792" t="s">
        <v>273</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70</v>
      </c>
      <c r="B1793" t="s">
        <v>242</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70</v>
      </c>
      <c r="B1794" t="s">
        <v>355</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70</v>
      </c>
      <c r="B1795" t="s">
        <v>335</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70</v>
      </c>
      <c r="B1796" t="s">
        <v>266</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70</v>
      </c>
      <c r="B1797" t="s">
        <v>272</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70</v>
      </c>
      <c r="B1798" t="s">
        <v>310</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70</v>
      </c>
      <c r="B1799" t="s">
        <v>317</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70</v>
      </c>
      <c r="B1800" t="s">
        <v>9</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70</v>
      </c>
      <c r="B1801" t="s">
        <v>362</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70</v>
      </c>
      <c r="B1802" t="s">
        <v>354</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70</v>
      </c>
      <c r="B1803" t="s">
        <v>353</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70</v>
      </c>
      <c r="B1804" t="s">
        <v>363</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70</v>
      </c>
      <c r="B1805" t="s">
        <v>305</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70</v>
      </c>
      <c r="B1806" t="s">
        <v>248</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70</v>
      </c>
      <c r="B1807" t="s">
        <v>342</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70</v>
      </c>
      <c r="B1808" t="s">
        <v>315</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70</v>
      </c>
      <c r="B1809" t="s">
        <v>247</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70</v>
      </c>
      <c r="B1810" t="s">
        <v>334</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70</v>
      </c>
      <c r="B1811" t="s">
        <v>300</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70</v>
      </c>
      <c r="B1812" t="s">
        <v>271</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70</v>
      </c>
      <c r="B1813" t="s">
        <v>255</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70</v>
      </c>
      <c r="B1814" t="s">
        <v>296</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70</v>
      </c>
      <c r="B1815" t="s">
        <v>249</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70</v>
      </c>
      <c r="B1816" t="s">
        <v>308</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70</v>
      </c>
      <c r="B1817" t="s">
        <v>319</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70</v>
      </c>
      <c r="B1818" t="s">
        <v>343</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70</v>
      </c>
      <c r="B1819" t="s">
        <v>258</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70</v>
      </c>
      <c r="B1820" t="s">
        <v>344</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70</v>
      </c>
      <c r="B1821" t="s">
        <v>276</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70</v>
      </c>
      <c r="B1822" t="s">
        <v>263</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70</v>
      </c>
      <c r="B1823" t="s">
        <v>254</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70</v>
      </c>
      <c r="B1824" t="s">
        <v>320</v>
      </c>
      <c r="C1824">
        <v>0</v>
      </c>
      <c r="D1824">
        <v>1</v>
      </c>
      <c r="E1824">
        <v>15</v>
      </c>
      <c r="F1824">
        <v>201</v>
      </c>
      <c r="G1824">
        <v>217</v>
      </c>
      <c r="H1824">
        <v>15</v>
      </c>
      <c r="I1824">
        <v>1</v>
      </c>
      <c r="J1824">
        <v>0.22755841388363099</v>
      </c>
      <c r="L1824">
        <v>-1.8541423312082701E-2</v>
      </c>
      <c r="M1824">
        <v>1</v>
      </c>
      <c r="O1824">
        <v>-1.8541423312082701E-2</v>
      </c>
    </row>
    <row r="1825" spans="1:15" hidden="1" x14ac:dyDescent="0.3">
      <c r="A1825" t="s">
        <v>70</v>
      </c>
      <c r="B1825" t="s">
        <v>221</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70</v>
      </c>
      <c r="B1826" t="s">
        <v>322</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70</v>
      </c>
      <c r="B1827" t="s">
        <v>303</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70</v>
      </c>
      <c r="B1828" t="s">
        <v>302</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70</v>
      </c>
      <c r="B1829" t="s">
        <v>284</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70</v>
      </c>
      <c r="B1830" t="s">
        <v>299</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70</v>
      </c>
      <c r="B1831" t="s">
        <v>268</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70</v>
      </c>
      <c r="B1832" t="s">
        <v>290</v>
      </c>
      <c r="C1832">
        <v>0</v>
      </c>
      <c r="D1832">
        <v>1</v>
      </c>
      <c r="E1832">
        <v>15</v>
      </c>
      <c r="F1832">
        <v>201</v>
      </c>
      <c r="G1832">
        <v>217</v>
      </c>
      <c r="H1832">
        <v>15</v>
      </c>
      <c r="I1832">
        <v>1</v>
      </c>
      <c r="J1832">
        <v>0.22755841388363099</v>
      </c>
      <c r="L1832">
        <v>-1.8541423312082701E-2</v>
      </c>
      <c r="M1832">
        <v>1</v>
      </c>
      <c r="O1832">
        <v>-1.8541423312082701E-2</v>
      </c>
    </row>
    <row r="1833" spans="1:15" hidden="1" x14ac:dyDescent="0.3">
      <c r="A1833" t="s">
        <v>70</v>
      </c>
      <c r="B1833" t="s">
        <v>351</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70</v>
      </c>
      <c r="B1834" t="s">
        <v>337</v>
      </c>
      <c r="C1834">
        <v>0</v>
      </c>
      <c r="D1834">
        <v>3</v>
      </c>
      <c r="E1834">
        <v>15</v>
      </c>
      <c r="F1834">
        <v>199</v>
      </c>
      <c r="G1834">
        <v>217</v>
      </c>
      <c r="H1834">
        <v>15</v>
      </c>
      <c r="I1834">
        <v>3</v>
      </c>
      <c r="J1834">
        <v>0.36059268083810198</v>
      </c>
      <c r="L1834">
        <v>-3.2264406854337999E-2</v>
      </c>
      <c r="M1834">
        <v>1</v>
      </c>
      <c r="O1834">
        <v>-3.2264406854337999E-2</v>
      </c>
    </row>
    <row r="1835" spans="1:15" hidden="1" x14ac:dyDescent="0.3">
      <c r="A1835" t="s">
        <v>70</v>
      </c>
      <c r="B1835" t="s">
        <v>212</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70</v>
      </c>
      <c r="B1836" t="s">
        <v>250</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70</v>
      </c>
      <c r="B1837" t="s">
        <v>347</v>
      </c>
      <c r="C1837">
        <v>0</v>
      </c>
      <c r="D1837">
        <v>1</v>
      </c>
      <c r="E1837">
        <v>15</v>
      </c>
      <c r="F1837">
        <v>201</v>
      </c>
      <c r="G1837">
        <v>217</v>
      </c>
      <c r="H1837">
        <v>15</v>
      </c>
      <c r="I1837">
        <v>1</v>
      </c>
      <c r="J1837">
        <v>0.22755841388363099</v>
      </c>
      <c r="L1837">
        <v>-1.8541423312082701E-2</v>
      </c>
      <c r="M1837">
        <v>1</v>
      </c>
      <c r="O1837">
        <v>-1.8541423312082701E-2</v>
      </c>
    </row>
    <row r="1838" spans="1:15" hidden="1" x14ac:dyDescent="0.3">
      <c r="A1838" t="s">
        <v>70</v>
      </c>
      <c r="B1838" t="s">
        <v>153</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70</v>
      </c>
      <c r="B1839" t="s">
        <v>283</v>
      </c>
      <c r="C1839">
        <v>0</v>
      </c>
      <c r="D1839">
        <v>1</v>
      </c>
      <c r="E1839">
        <v>15</v>
      </c>
      <c r="F1839">
        <v>201</v>
      </c>
      <c r="G1839">
        <v>217</v>
      </c>
      <c r="H1839">
        <v>15</v>
      </c>
      <c r="I1839">
        <v>1</v>
      </c>
      <c r="J1839">
        <v>0.22755841388363099</v>
      </c>
      <c r="L1839">
        <v>-1.8541423312082701E-2</v>
      </c>
      <c r="M1839">
        <v>1</v>
      </c>
      <c r="O1839">
        <v>-1.8541423312082701E-2</v>
      </c>
    </row>
    <row r="1840" spans="1:15" hidden="1" x14ac:dyDescent="0.3">
      <c r="A1840" t="s">
        <v>70</v>
      </c>
      <c r="B1840" t="s">
        <v>219</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70</v>
      </c>
      <c r="B1841" t="s">
        <v>201</v>
      </c>
      <c r="C1841">
        <v>0</v>
      </c>
      <c r="D1841">
        <v>4</v>
      </c>
      <c r="E1841">
        <v>15</v>
      </c>
      <c r="F1841">
        <v>198</v>
      </c>
      <c r="G1841">
        <v>217</v>
      </c>
      <c r="H1841">
        <v>15</v>
      </c>
      <c r="I1841">
        <v>4</v>
      </c>
      <c r="J1841">
        <v>0.403333996038028</v>
      </c>
      <c r="L1841">
        <v>-3.7343080319489803E-2</v>
      </c>
      <c r="M1841">
        <v>1</v>
      </c>
      <c r="O1841">
        <v>-3.7343080319489803E-2</v>
      </c>
    </row>
    <row r="1842" spans="1:15" hidden="1" x14ac:dyDescent="0.3">
      <c r="A1842" t="s">
        <v>70</v>
      </c>
      <c r="B1842" t="s">
        <v>279</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70</v>
      </c>
      <c r="B1843" t="s">
        <v>262</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70</v>
      </c>
      <c r="B1844" t="s">
        <v>321</v>
      </c>
      <c r="C1844">
        <v>0</v>
      </c>
      <c r="D1844">
        <v>1</v>
      </c>
      <c r="E1844">
        <v>15</v>
      </c>
      <c r="F1844">
        <v>201</v>
      </c>
      <c r="G1844">
        <v>217</v>
      </c>
      <c r="H1844">
        <v>15</v>
      </c>
      <c r="I1844">
        <v>1</v>
      </c>
      <c r="J1844">
        <v>0.22755841388363099</v>
      </c>
      <c r="L1844">
        <v>-1.8541423312082701E-2</v>
      </c>
      <c r="M1844">
        <v>1</v>
      </c>
      <c r="O1844">
        <v>-1.8541423312082701E-2</v>
      </c>
    </row>
    <row r="1845" spans="1:15" hidden="1" x14ac:dyDescent="0.3">
      <c r="A1845" t="s">
        <v>70</v>
      </c>
      <c r="B1845" t="s">
        <v>215</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70</v>
      </c>
      <c r="B1846" t="s">
        <v>341</v>
      </c>
      <c r="C1846">
        <v>0</v>
      </c>
      <c r="D1846">
        <v>1</v>
      </c>
      <c r="E1846">
        <v>15</v>
      </c>
      <c r="F1846">
        <v>201</v>
      </c>
      <c r="G1846">
        <v>217</v>
      </c>
      <c r="H1846">
        <v>15</v>
      </c>
      <c r="I1846">
        <v>1</v>
      </c>
      <c r="J1846">
        <v>0.22755841388363099</v>
      </c>
      <c r="L1846">
        <v>-1.8541423312082701E-2</v>
      </c>
      <c r="M1846">
        <v>1</v>
      </c>
      <c r="O1846">
        <v>-1.8541423312082701E-2</v>
      </c>
    </row>
    <row r="1847" spans="1:15" hidden="1" x14ac:dyDescent="0.3">
      <c r="A1847" t="s">
        <v>70</v>
      </c>
      <c r="B1847" t="s">
        <v>214</v>
      </c>
      <c r="C1847">
        <v>0</v>
      </c>
      <c r="D1847">
        <v>3</v>
      </c>
      <c r="E1847">
        <v>15</v>
      </c>
      <c r="F1847">
        <v>199</v>
      </c>
      <c r="G1847">
        <v>217</v>
      </c>
      <c r="H1847">
        <v>15</v>
      </c>
      <c r="I1847">
        <v>3</v>
      </c>
      <c r="J1847">
        <v>0.36059268083810198</v>
      </c>
      <c r="L1847">
        <v>-3.2264406854337999E-2</v>
      </c>
      <c r="M1847">
        <v>1</v>
      </c>
      <c r="O1847">
        <v>-3.2264406854337999E-2</v>
      </c>
    </row>
    <row r="1848" spans="1:15" hidden="1" x14ac:dyDescent="0.3">
      <c r="A1848" t="s">
        <v>70</v>
      </c>
      <c r="B1848" t="s">
        <v>352</v>
      </c>
      <c r="C1848">
        <v>0</v>
      </c>
      <c r="D1848">
        <v>1</v>
      </c>
      <c r="E1848">
        <v>15</v>
      </c>
      <c r="F1848">
        <v>201</v>
      </c>
      <c r="G1848">
        <v>217</v>
      </c>
      <c r="H1848">
        <v>15</v>
      </c>
      <c r="I1848">
        <v>1</v>
      </c>
      <c r="J1848">
        <v>0.22755841388363099</v>
      </c>
      <c r="L1848">
        <v>-1.8541423312082701E-2</v>
      </c>
      <c r="M1848">
        <v>1</v>
      </c>
      <c r="O1848">
        <v>-1.8541423312082701E-2</v>
      </c>
    </row>
    <row r="1849" spans="1:15" x14ac:dyDescent="0.3">
      <c r="A1849" t="s">
        <v>70</v>
      </c>
      <c r="B1849" t="s">
        <v>169</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70</v>
      </c>
      <c r="B1850" t="s">
        <v>340</v>
      </c>
      <c r="C1850">
        <v>0</v>
      </c>
      <c r="D1850">
        <v>1</v>
      </c>
      <c r="E1850">
        <v>15</v>
      </c>
      <c r="F1850">
        <v>201</v>
      </c>
      <c r="G1850">
        <v>217</v>
      </c>
      <c r="H1850">
        <v>15</v>
      </c>
      <c r="I1850">
        <v>1</v>
      </c>
      <c r="J1850">
        <v>0.22755841388363099</v>
      </c>
      <c r="L1850">
        <v>-1.8541423312082701E-2</v>
      </c>
      <c r="M1850">
        <v>1</v>
      </c>
      <c r="O1850">
        <v>-1.8541423312082701E-2</v>
      </c>
    </row>
    <row r="1851" spans="1:15" hidden="1" x14ac:dyDescent="0.3">
      <c r="A1851" t="s">
        <v>70</v>
      </c>
      <c r="B1851" t="s">
        <v>190</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70</v>
      </c>
      <c r="B1852" t="s">
        <v>346</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70</v>
      </c>
      <c r="B1853" t="s">
        <v>309</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70</v>
      </c>
      <c r="B1854" t="s">
        <v>148</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70</v>
      </c>
      <c r="B1855" t="s">
        <v>173</v>
      </c>
      <c r="C1855">
        <v>0</v>
      </c>
      <c r="D1855">
        <v>2</v>
      </c>
      <c r="E1855">
        <v>15</v>
      </c>
      <c r="F1855">
        <v>200</v>
      </c>
      <c r="G1855">
        <v>217</v>
      </c>
      <c r="H1855">
        <v>15</v>
      </c>
      <c r="I1855">
        <v>2</v>
      </c>
      <c r="J1855">
        <v>0.30590634059779898</v>
      </c>
      <c r="L1855">
        <v>-2.62824418784426E-2</v>
      </c>
      <c r="M1855">
        <v>1</v>
      </c>
      <c r="O1855">
        <v>-2.62824418784426E-2</v>
      </c>
    </row>
    <row r="1856" spans="1:15" hidden="1" x14ac:dyDescent="0.3">
      <c r="A1856" t="s">
        <v>70</v>
      </c>
      <c r="B1856" t="s">
        <v>217</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70</v>
      </c>
      <c r="B1857" t="s">
        <v>348</v>
      </c>
      <c r="C1857">
        <v>0</v>
      </c>
      <c r="D1857">
        <v>1</v>
      </c>
      <c r="E1857">
        <v>15</v>
      </c>
      <c r="F1857">
        <v>201</v>
      </c>
      <c r="G1857">
        <v>217</v>
      </c>
      <c r="H1857">
        <v>15</v>
      </c>
      <c r="I1857">
        <v>1</v>
      </c>
      <c r="J1857">
        <v>0.22755841388363099</v>
      </c>
      <c r="L1857">
        <v>-1.8541423312082701E-2</v>
      </c>
      <c r="M1857">
        <v>1</v>
      </c>
      <c r="O1857">
        <v>-1.8541423312082701E-2</v>
      </c>
    </row>
    <row r="1858" spans="1:15" hidden="1" x14ac:dyDescent="0.3">
      <c r="A1858" t="s">
        <v>70</v>
      </c>
      <c r="B1858" t="s">
        <v>222</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70</v>
      </c>
      <c r="B1859" t="s">
        <v>269</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70</v>
      </c>
      <c r="B1860" t="s">
        <v>349</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70</v>
      </c>
      <c r="B1861" t="s">
        <v>274</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70</v>
      </c>
      <c r="B1862" t="s">
        <v>316</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70</v>
      </c>
      <c r="B1863" t="s">
        <v>350</v>
      </c>
      <c r="C1863">
        <v>0</v>
      </c>
      <c r="D1863">
        <v>1</v>
      </c>
      <c r="E1863">
        <v>15</v>
      </c>
      <c r="F1863">
        <v>201</v>
      </c>
      <c r="G1863">
        <v>217</v>
      </c>
      <c r="H1863">
        <v>15</v>
      </c>
      <c r="I1863">
        <v>1</v>
      </c>
      <c r="J1863">
        <v>0.22755841388363099</v>
      </c>
      <c r="L1863">
        <v>-1.8541423312082701E-2</v>
      </c>
      <c r="M1863">
        <v>1</v>
      </c>
      <c r="O1863">
        <v>-1.8541423312082701E-2</v>
      </c>
    </row>
    <row r="1864" spans="1:15" hidden="1" x14ac:dyDescent="0.3">
      <c r="A1864" t="s">
        <v>70</v>
      </c>
      <c r="B1864" t="s">
        <v>218</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70</v>
      </c>
      <c r="B1865" t="s">
        <v>261</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70</v>
      </c>
      <c r="B1866" t="s">
        <v>277</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70</v>
      </c>
      <c r="B1867" t="s">
        <v>251</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70</v>
      </c>
      <c r="B1868" t="s">
        <v>259</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70</v>
      </c>
      <c r="B1869" t="s">
        <v>329</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70</v>
      </c>
      <c r="B1870" t="s">
        <v>360</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70</v>
      </c>
      <c r="B1871" t="s">
        <v>358</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70</v>
      </c>
      <c r="B1872" t="s">
        <v>312</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70</v>
      </c>
      <c r="B1873" t="s">
        <v>361</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70</v>
      </c>
      <c r="B1874" t="s">
        <v>306</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70</v>
      </c>
      <c r="B1875" t="s">
        <v>345</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70</v>
      </c>
      <c r="B1876" t="s">
        <v>338</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70</v>
      </c>
      <c r="B1877" t="s">
        <v>328</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70</v>
      </c>
      <c r="B1878" t="s">
        <v>293</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70</v>
      </c>
      <c r="B1879" t="s">
        <v>297</v>
      </c>
      <c r="C1879">
        <v>0</v>
      </c>
      <c r="D1879">
        <v>1</v>
      </c>
      <c r="E1879">
        <v>15</v>
      </c>
      <c r="F1879">
        <v>201</v>
      </c>
      <c r="G1879">
        <v>217</v>
      </c>
      <c r="H1879">
        <v>15</v>
      </c>
      <c r="I1879">
        <v>1</v>
      </c>
      <c r="J1879">
        <v>0.22755841388363099</v>
      </c>
      <c r="L1879">
        <v>-1.8541423312082701E-2</v>
      </c>
      <c r="M1879">
        <v>1</v>
      </c>
      <c r="O1879">
        <v>-1.8541423312082701E-2</v>
      </c>
    </row>
    <row r="1880" spans="1:15" hidden="1" x14ac:dyDescent="0.3">
      <c r="A1880" t="s">
        <v>70</v>
      </c>
      <c r="B1880" t="s">
        <v>264</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70</v>
      </c>
      <c r="B1881" t="s">
        <v>359</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70</v>
      </c>
      <c r="B1882" t="s">
        <v>313</v>
      </c>
      <c r="C1882">
        <v>0</v>
      </c>
      <c r="D1882">
        <v>1</v>
      </c>
      <c r="E1882">
        <v>15</v>
      </c>
      <c r="F1882">
        <v>201</v>
      </c>
      <c r="G1882">
        <v>217</v>
      </c>
      <c r="H1882">
        <v>15</v>
      </c>
      <c r="I1882">
        <v>1</v>
      </c>
      <c r="J1882">
        <v>0.22755841388363099</v>
      </c>
      <c r="L1882">
        <v>-1.8541423312082701E-2</v>
      </c>
      <c r="M1882">
        <v>1</v>
      </c>
      <c r="O1882">
        <v>-1.8541423312082701E-2</v>
      </c>
    </row>
    <row r="1883" spans="1:15" hidden="1" x14ac:dyDescent="0.3">
      <c r="A1883" t="s">
        <v>70</v>
      </c>
      <c r="B1883" t="s">
        <v>331</v>
      </c>
      <c r="C1883">
        <v>0</v>
      </c>
      <c r="D1883">
        <v>2</v>
      </c>
      <c r="E1883">
        <v>15</v>
      </c>
      <c r="F1883">
        <v>200</v>
      </c>
      <c r="G1883">
        <v>217</v>
      </c>
      <c r="H1883">
        <v>15</v>
      </c>
      <c r="I1883">
        <v>2</v>
      </c>
      <c r="J1883">
        <v>0.30590634059779898</v>
      </c>
      <c r="L1883">
        <v>-2.62824418784426E-2</v>
      </c>
      <c r="M1883">
        <v>1</v>
      </c>
      <c r="O1883">
        <v>-2.62824418784426E-2</v>
      </c>
    </row>
    <row r="1884" spans="1:15" hidden="1" x14ac:dyDescent="0.3">
      <c r="A1884" t="s">
        <v>70</v>
      </c>
      <c r="B1884" t="s">
        <v>285</v>
      </c>
      <c r="C1884">
        <v>0</v>
      </c>
      <c r="D1884">
        <v>1</v>
      </c>
      <c r="E1884">
        <v>15</v>
      </c>
      <c r="F1884">
        <v>201</v>
      </c>
      <c r="G1884">
        <v>217</v>
      </c>
      <c r="H1884">
        <v>15</v>
      </c>
      <c r="I1884">
        <v>1</v>
      </c>
      <c r="J1884">
        <v>0.22755841388363099</v>
      </c>
      <c r="L1884">
        <v>-1.8541423312082701E-2</v>
      </c>
      <c r="M1884">
        <v>1</v>
      </c>
      <c r="O1884">
        <v>-1.8541423312082701E-2</v>
      </c>
    </row>
    <row r="1885" spans="1:15" x14ac:dyDescent="0.3">
      <c r="A1885" t="s">
        <v>70</v>
      </c>
      <c r="B1885" t="s">
        <v>152</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70</v>
      </c>
      <c r="B1886" t="s">
        <v>311</v>
      </c>
      <c r="C1886">
        <v>0</v>
      </c>
      <c r="D1886">
        <v>1</v>
      </c>
      <c r="E1886">
        <v>15</v>
      </c>
      <c r="F1886">
        <v>201</v>
      </c>
      <c r="G1886">
        <v>217</v>
      </c>
      <c r="H1886">
        <v>15</v>
      </c>
      <c r="I1886">
        <v>1</v>
      </c>
      <c r="J1886">
        <v>0.22755841388363099</v>
      </c>
      <c r="L1886">
        <v>-1.8541423312082701E-2</v>
      </c>
      <c r="M1886">
        <v>1</v>
      </c>
      <c r="O1886">
        <v>-1.8541423312082701E-2</v>
      </c>
    </row>
    <row r="1887" spans="1:15" hidden="1" x14ac:dyDescent="0.3">
      <c r="A1887" t="s">
        <v>70</v>
      </c>
      <c r="B1887" t="s">
        <v>213</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70</v>
      </c>
      <c r="B1888" t="s">
        <v>330</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70</v>
      </c>
      <c r="B1889" t="s">
        <v>252</v>
      </c>
      <c r="C1889">
        <v>0</v>
      </c>
      <c r="D1889">
        <v>3</v>
      </c>
      <c r="E1889">
        <v>15</v>
      </c>
      <c r="F1889">
        <v>199</v>
      </c>
      <c r="G1889">
        <v>217</v>
      </c>
      <c r="H1889">
        <v>15</v>
      </c>
      <c r="I1889">
        <v>3</v>
      </c>
      <c r="J1889">
        <v>0.36059268083810198</v>
      </c>
      <c r="L1889">
        <v>-3.2264406854337999E-2</v>
      </c>
      <c r="M1889">
        <v>1</v>
      </c>
      <c r="O1889">
        <v>-3.2264406854337999E-2</v>
      </c>
    </row>
    <row r="1890" spans="1:15" x14ac:dyDescent="0.3">
      <c r="A1890" t="s">
        <v>70</v>
      </c>
      <c r="B1890" t="s">
        <v>170</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70</v>
      </c>
      <c r="B1891" t="s">
        <v>281</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70</v>
      </c>
      <c r="B1892" t="s">
        <v>324</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70</v>
      </c>
      <c r="B1893" t="s">
        <v>292</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70</v>
      </c>
      <c r="B1894" t="s">
        <v>323</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70</v>
      </c>
      <c r="B1895" t="s">
        <v>326</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70</v>
      </c>
      <c r="B1896" t="s">
        <v>325</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70</v>
      </c>
      <c r="B1897" t="s">
        <v>327</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70</v>
      </c>
      <c r="B1898" t="s">
        <v>174</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70</v>
      </c>
      <c r="B1899" t="s">
        <v>260</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70</v>
      </c>
      <c r="B1900" t="s">
        <v>280</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70</v>
      </c>
      <c r="B1901" t="s">
        <v>318</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70</v>
      </c>
      <c r="B1902" t="s">
        <v>244</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70</v>
      </c>
      <c r="B1903" t="s">
        <v>336</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70</v>
      </c>
      <c r="B1904" t="s">
        <v>270</v>
      </c>
      <c r="C1904">
        <v>0</v>
      </c>
      <c r="D1904">
        <v>3</v>
      </c>
      <c r="E1904">
        <v>15</v>
      </c>
      <c r="F1904">
        <v>199</v>
      </c>
      <c r="G1904">
        <v>217</v>
      </c>
      <c r="H1904">
        <v>15</v>
      </c>
      <c r="I1904">
        <v>3</v>
      </c>
      <c r="J1904">
        <v>0.36059268083810198</v>
      </c>
      <c r="L1904">
        <v>-3.2264406854337999E-2</v>
      </c>
      <c r="M1904">
        <v>1</v>
      </c>
      <c r="O1904">
        <v>-3.2264406854337999E-2</v>
      </c>
    </row>
    <row r="1905" spans="1:15" x14ac:dyDescent="0.3">
      <c r="A1905" t="s">
        <v>70</v>
      </c>
      <c r="B1905" t="s">
        <v>257</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70</v>
      </c>
      <c r="B1906" t="s">
        <v>286</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70</v>
      </c>
      <c r="B1907" t="s">
        <v>198</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70</v>
      </c>
      <c r="B1908" t="s">
        <v>289</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70</v>
      </c>
      <c r="B1909" t="s">
        <v>282</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70</v>
      </c>
      <c r="B1910" t="s">
        <v>291</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73</v>
      </c>
      <c r="B1911" t="s">
        <v>3</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73</v>
      </c>
      <c r="B1912" t="s">
        <v>1</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73</v>
      </c>
      <c r="B1913" t="s">
        <v>314</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73</v>
      </c>
      <c r="B1914" t="s">
        <v>357</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73</v>
      </c>
      <c r="B1915" t="s">
        <v>356</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73</v>
      </c>
      <c r="B1916" t="s">
        <v>273</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73</v>
      </c>
      <c r="B1917" t="s">
        <v>242</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73</v>
      </c>
      <c r="B1918" t="s">
        <v>332</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73</v>
      </c>
      <c r="B1919" t="s">
        <v>355</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73</v>
      </c>
      <c r="B1920" t="s">
        <v>335</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73</v>
      </c>
      <c r="B1921" t="s">
        <v>266</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73</v>
      </c>
      <c r="B1922" t="s">
        <v>272</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73</v>
      </c>
      <c r="B1923" t="s">
        <v>310</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73</v>
      </c>
      <c r="B1924" t="s">
        <v>317</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73</v>
      </c>
      <c r="B1925" t="s">
        <v>9</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73</v>
      </c>
      <c r="B1926" t="s">
        <v>362</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73</v>
      </c>
      <c r="B1927" t="s">
        <v>354</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73</v>
      </c>
      <c r="B1928" t="s">
        <v>353</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73</v>
      </c>
      <c r="B1929" t="s">
        <v>363</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73</v>
      </c>
      <c r="B1930" t="s">
        <v>305</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73</v>
      </c>
      <c r="B1931" t="s">
        <v>339</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73</v>
      </c>
      <c r="B1932" t="s">
        <v>248</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73</v>
      </c>
      <c r="B1933" t="s">
        <v>342</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73</v>
      </c>
      <c r="B1934" t="s">
        <v>315</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73</v>
      </c>
      <c r="B1935" t="s">
        <v>247</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73</v>
      </c>
      <c r="B1936" t="s">
        <v>241</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73</v>
      </c>
      <c r="B1937" t="s">
        <v>334</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73</v>
      </c>
      <c r="B1938" t="s">
        <v>300</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73</v>
      </c>
      <c r="B1939" t="s">
        <v>265</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73</v>
      </c>
      <c r="B1940" t="s">
        <v>271</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73</v>
      </c>
      <c r="B1941" t="s">
        <v>255</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73</v>
      </c>
      <c r="B1942" t="s">
        <v>296</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73</v>
      </c>
      <c r="B1943" t="s">
        <v>249</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73</v>
      </c>
      <c r="B1944" t="s">
        <v>308</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73</v>
      </c>
      <c r="B1945" t="s">
        <v>319</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73</v>
      </c>
      <c r="B1946" t="s">
        <v>245</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73</v>
      </c>
      <c r="B1947" t="s">
        <v>240</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73</v>
      </c>
      <c r="B1948" t="s">
        <v>343</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73</v>
      </c>
      <c r="B1949" t="s">
        <v>258</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73</v>
      </c>
      <c r="B1950" t="s">
        <v>344</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73</v>
      </c>
      <c r="B1951" t="s">
        <v>276</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73</v>
      </c>
      <c r="B1952" t="s">
        <v>333</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73</v>
      </c>
      <c r="B1953" t="s">
        <v>263</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73</v>
      </c>
      <c r="B1954" t="s">
        <v>254</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73</v>
      </c>
      <c r="B1955" t="s">
        <v>320</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73</v>
      </c>
      <c r="B1956" t="s">
        <v>275</v>
      </c>
      <c r="C1956">
        <v>0</v>
      </c>
      <c r="D1956">
        <v>11</v>
      </c>
      <c r="E1956">
        <v>1</v>
      </c>
      <c r="F1956">
        <v>205</v>
      </c>
      <c r="G1956">
        <v>217</v>
      </c>
      <c r="H1956">
        <v>1</v>
      </c>
      <c r="I1956">
        <v>11</v>
      </c>
      <c r="J1956">
        <v>0.19837015644199599</v>
      </c>
      <c r="L1956">
        <v>-1.5723016016341299E-2</v>
      </c>
      <c r="M1956">
        <v>1</v>
      </c>
      <c r="O1956">
        <v>-1.5723016016341299E-2</v>
      </c>
    </row>
    <row r="1957" spans="1:15" hidden="1" x14ac:dyDescent="0.3">
      <c r="A1957" t="s">
        <v>73</v>
      </c>
      <c r="B1957" t="s">
        <v>221</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73</v>
      </c>
      <c r="B1958" t="s">
        <v>322</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73</v>
      </c>
      <c r="B1959" t="s">
        <v>303</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73</v>
      </c>
      <c r="B1960" t="s">
        <v>302</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73</v>
      </c>
      <c r="B1961" t="s">
        <v>147</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73</v>
      </c>
      <c r="B1962" t="s">
        <v>284</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73</v>
      </c>
      <c r="B1963" t="s">
        <v>299</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73</v>
      </c>
      <c r="B1964" t="s">
        <v>301</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73</v>
      </c>
      <c r="B1965" t="s">
        <v>268</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73</v>
      </c>
      <c r="B1966" t="s">
        <v>290</v>
      </c>
      <c r="C1966">
        <v>0</v>
      </c>
      <c r="D1966">
        <v>1</v>
      </c>
      <c r="E1966">
        <v>1</v>
      </c>
      <c r="F1966">
        <v>215</v>
      </c>
      <c r="G1966">
        <v>217</v>
      </c>
      <c r="H1966">
        <v>1</v>
      </c>
      <c r="I1966">
        <v>1</v>
      </c>
      <c r="J1966">
        <v>6.4493014968382195E-2</v>
      </c>
      <c r="L1966">
        <v>-4.6296296296296198E-3</v>
      </c>
      <c r="M1966">
        <v>1</v>
      </c>
      <c r="O1966">
        <v>-4.6296296296296198E-3</v>
      </c>
    </row>
    <row r="1967" spans="1:15" hidden="1" x14ac:dyDescent="0.3">
      <c r="A1967" t="s">
        <v>73</v>
      </c>
      <c r="B1967" t="s">
        <v>351</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73</v>
      </c>
      <c r="B1968" t="s">
        <v>337</v>
      </c>
      <c r="C1968">
        <v>0</v>
      </c>
      <c r="D1968">
        <v>3</v>
      </c>
      <c r="E1968">
        <v>1</v>
      </c>
      <c r="F1968">
        <v>213</v>
      </c>
      <c r="G1968">
        <v>217</v>
      </c>
      <c r="H1968">
        <v>1</v>
      </c>
      <c r="I1968">
        <v>3</v>
      </c>
      <c r="J1968">
        <v>0.109052747711589</v>
      </c>
      <c r="L1968">
        <v>-8.0561374087138593E-3</v>
      </c>
      <c r="M1968">
        <v>1</v>
      </c>
      <c r="O1968">
        <v>-8.0561374087138593E-3</v>
      </c>
    </row>
    <row r="1969" spans="1:15" hidden="1" x14ac:dyDescent="0.3">
      <c r="A1969" t="s">
        <v>73</v>
      </c>
      <c r="B1969" t="s">
        <v>212</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73</v>
      </c>
      <c r="B1970" t="s">
        <v>250</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73</v>
      </c>
      <c r="B1971" t="s">
        <v>246</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73</v>
      </c>
      <c r="B1972" t="s">
        <v>347</v>
      </c>
      <c r="C1972">
        <v>0</v>
      </c>
      <c r="D1972">
        <v>1</v>
      </c>
      <c r="E1972">
        <v>1</v>
      </c>
      <c r="F1972">
        <v>215</v>
      </c>
      <c r="G1972">
        <v>217</v>
      </c>
      <c r="H1972">
        <v>1</v>
      </c>
      <c r="I1972">
        <v>1</v>
      </c>
      <c r="J1972">
        <v>6.4493014968382195E-2</v>
      </c>
      <c r="L1972">
        <v>-4.6296296296296198E-3</v>
      </c>
      <c r="M1972">
        <v>1</v>
      </c>
      <c r="O1972">
        <v>-4.6296296296296198E-3</v>
      </c>
    </row>
    <row r="1973" spans="1:15" hidden="1" x14ac:dyDescent="0.3">
      <c r="A1973" t="s">
        <v>73</v>
      </c>
      <c r="B1973" t="s">
        <v>153</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73</v>
      </c>
      <c r="B1974" t="s">
        <v>283</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73</v>
      </c>
      <c r="B1975" t="s">
        <v>5</v>
      </c>
      <c r="C1975">
        <v>0</v>
      </c>
      <c r="D1975">
        <v>3</v>
      </c>
      <c r="E1975">
        <v>1</v>
      </c>
      <c r="F1975">
        <v>213</v>
      </c>
      <c r="G1975">
        <v>217</v>
      </c>
      <c r="H1975">
        <v>1</v>
      </c>
      <c r="I1975">
        <v>3</v>
      </c>
      <c r="J1975">
        <v>0.109052747711589</v>
      </c>
      <c r="L1975">
        <v>-8.0561374087138593E-3</v>
      </c>
      <c r="M1975">
        <v>1</v>
      </c>
      <c r="O1975">
        <v>-8.0561374087138593E-3</v>
      </c>
    </row>
    <row r="1976" spans="1:15" hidden="1" x14ac:dyDescent="0.3">
      <c r="A1976" t="s">
        <v>73</v>
      </c>
      <c r="B1976" t="s">
        <v>219</v>
      </c>
      <c r="C1976">
        <v>0</v>
      </c>
      <c r="D1976">
        <v>4</v>
      </c>
      <c r="E1976">
        <v>1</v>
      </c>
      <c r="F1976">
        <v>212</v>
      </c>
      <c r="G1976">
        <v>217</v>
      </c>
      <c r="H1976">
        <v>1</v>
      </c>
      <c r="I1976">
        <v>4</v>
      </c>
      <c r="J1976">
        <v>0.124826680957052</v>
      </c>
      <c r="L1976">
        <v>-9.3242373144076501E-3</v>
      </c>
      <c r="M1976">
        <v>1</v>
      </c>
      <c r="O1976">
        <v>-9.3242373144076501E-3</v>
      </c>
    </row>
    <row r="1977" spans="1:15" hidden="1" x14ac:dyDescent="0.3">
      <c r="A1977" t="s">
        <v>73</v>
      </c>
      <c r="B1977" t="s">
        <v>220</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73</v>
      </c>
      <c r="B1978" t="s">
        <v>201</v>
      </c>
      <c r="C1978">
        <v>0</v>
      </c>
      <c r="D1978">
        <v>4</v>
      </c>
      <c r="E1978">
        <v>1</v>
      </c>
      <c r="F1978">
        <v>212</v>
      </c>
      <c r="G1978">
        <v>217</v>
      </c>
      <c r="H1978">
        <v>1</v>
      </c>
      <c r="I1978">
        <v>4</v>
      </c>
      <c r="J1978">
        <v>0.124826680957052</v>
      </c>
      <c r="L1978">
        <v>-9.3242373144076501E-3</v>
      </c>
      <c r="M1978">
        <v>1</v>
      </c>
      <c r="O1978">
        <v>-9.3242373144076501E-3</v>
      </c>
    </row>
    <row r="1979" spans="1:15" hidden="1" x14ac:dyDescent="0.3">
      <c r="A1979" t="s">
        <v>73</v>
      </c>
      <c r="B1979" t="s">
        <v>279</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73</v>
      </c>
      <c r="B1980" t="s">
        <v>262</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73</v>
      </c>
      <c r="B1981" t="s">
        <v>321</v>
      </c>
      <c r="C1981">
        <v>0</v>
      </c>
      <c r="D1981">
        <v>1</v>
      </c>
      <c r="E1981">
        <v>1</v>
      </c>
      <c r="F1981">
        <v>215</v>
      </c>
      <c r="G1981">
        <v>217</v>
      </c>
      <c r="H1981">
        <v>1</v>
      </c>
      <c r="I1981">
        <v>1</v>
      </c>
      <c r="J1981">
        <v>6.4493014968382195E-2</v>
      </c>
      <c r="L1981">
        <v>-4.6296296296296198E-3</v>
      </c>
      <c r="M1981">
        <v>1</v>
      </c>
      <c r="O1981">
        <v>-4.6296296296296198E-3</v>
      </c>
    </row>
    <row r="1982" spans="1:15" hidden="1" x14ac:dyDescent="0.3">
      <c r="A1982" t="s">
        <v>73</v>
      </c>
      <c r="B1982" t="s">
        <v>215</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73</v>
      </c>
      <c r="B1983" t="s">
        <v>253</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73</v>
      </c>
      <c r="B1984" t="s">
        <v>341</v>
      </c>
      <c r="C1984">
        <v>0</v>
      </c>
      <c r="D1984">
        <v>1</v>
      </c>
      <c r="E1984">
        <v>1</v>
      </c>
      <c r="F1984">
        <v>215</v>
      </c>
      <c r="G1984">
        <v>217</v>
      </c>
      <c r="H1984">
        <v>1</v>
      </c>
      <c r="I1984">
        <v>1</v>
      </c>
      <c r="J1984">
        <v>6.4493014968382195E-2</v>
      </c>
      <c r="L1984">
        <v>-4.6296296296296198E-3</v>
      </c>
      <c r="M1984">
        <v>1</v>
      </c>
      <c r="O1984">
        <v>-4.6296296296296198E-3</v>
      </c>
    </row>
    <row r="1985" spans="1:15" hidden="1" x14ac:dyDescent="0.3">
      <c r="A1985" t="s">
        <v>73</v>
      </c>
      <c r="B1985" t="s">
        <v>214</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73</v>
      </c>
      <c r="B1986" t="s">
        <v>168</v>
      </c>
      <c r="C1986">
        <v>0</v>
      </c>
      <c r="D1986">
        <v>5</v>
      </c>
      <c r="E1986">
        <v>1</v>
      </c>
      <c r="F1986">
        <v>211</v>
      </c>
      <c r="G1986">
        <v>217</v>
      </c>
      <c r="H1986">
        <v>1</v>
      </c>
      <c r="I1986">
        <v>5</v>
      </c>
      <c r="J1986">
        <v>0.138492225345964</v>
      </c>
      <c r="L1986">
        <v>-1.0449372136989901E-2</v>
      </c>
      <c r="M1986">
        <v>1</v>
      </c>
      <c r="O1986">
        <v>-1.0449372136989901E-2</v>
      </c>
    </row>
    <row r="1987" spans="1:15" hidden="1" x14ac:dyDescent="0.3">
      <c r="A1987" t="s">
        <v>73</v>
      </c>
      <c r="B1987" t="s">
        <v>352</v>
      </c>
      <c r="C1987">
        <v>0</v>
      </c>
      <c r="D1987">
        <v>1</v>
      </c>
      <c r="E1987">
        <v>1</v>
      </c>
      <c r="F1987">
        <v>215</v>
      </c>
      <c r="G1987">
        <v>217</v>
      </c>
      <c r="H1987">
        <v>1</v>
      </c>
      <c r="I1987">
        <v>1</v>
      </c>
      <c r="J1987">
        <v>6.4493014968382195E-2</v>
      </c>
      <c r="L1987">
        <v>-4.6296296296296198E-3</v>
      </c>
      <c r="M1987">
        <v>1</v>
      </c>
      <c r="O1987">
        <v>-4.6296296296296198E-3</v>
      </c>
    </row>
    <row r="1988" spans="1:15" x14ac:dyDescent="0.3">
      <c r="A1988" t="s">
        <v>73</v>
      </c>
      <c r="B1988" t="s">
        <v>169</v>
      </c>
      <c r="C1988">
        <v>0</v>
      </c>
      <c r="D1988">
        <v>2</v>
      </c>
      <c r="E1988">
        <v>1</v>
      </c>
      <c r="F1988">
        <v>214</v>
      </c>
      <c r="G1988">
        <v>217</v>
      </c>
      <c r="H1988">
        <v>1</v>
      </c>
      <c r="I1988">
        <v>2</v>
      </c>
      <c r="J1988">
        <v>8.9972904061745101E-2</v>
      </c>
      <c r="L1988">
        <v>-6.5624935913179798E-3</v>
      </c>
      <c r="M1988">
        <v>1</v>
      </c>
      <c r="O1988">
        <v>-6.5624935913179798E-3</v>
      </c>
    </row>
    <row r="1989" spans="1:15" x14ac:dyDescent="0.3">
      <c r="A1989" t="s">
        <v>73</v>
      </c>
      <c r="B1989" t="s">
        <v>175</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73</v>
      </c>
      <c r="B1990" t="s">
        <v>340</v>
      </c>
      <c r="C1990">
        <v>0</v>
      </c>
      <c r="D1990">
        <v>1</v>
      </c>
      <c r="E1990">
        <v>1</v>
      </c>
      <c r="F1990">
        <v>215</v>
      </c>
      <c r="G1990">
        <v>217</v>
      </c>
      <c r="H1990">
        <v>1</v>
      </c>
      <c r="I1990">
        <v>1</v>
      </c>
      <c r="J1990">
        <v>6.4493014968382195E-2</v>
      </c>
      <c r="L1990">
        <v>-4.6296296296296198E-3</v>
      </c>
      <c r="M1990">
        <v>1</v>
      </c>
      <c r="O1990">
        <v>-4.6296296296296198E-3</v>
      </c>
    </row>
    <row r="1991" spans="1:15" hidden="1" x14ac:dyDescent="0.3">
      <c r="A1991" t="s">
        <v>73</v>
      </c>
      <c r="B1991" t="s">
        <v>190</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73</v>
      </c>
      <c r="B1992" t="s">
        <v>346</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73</v>
      </c>
      <c r="B1993" t="s">
        <v>309</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73</v>
      </c>
      <c r="B1994" t="s">
        <v>148</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73</v>
      </c>
      <c r="B1995" t="s">
        <v>173</v>
      </c>
      <c r="C1995">
        <v>0</v>
      </c>
      <c r="D1995">
        <v>2</v>
      </c>
      <c r="E1995">
        <v>1</v>
      </c>
      <c r="F1995">
        <v>214</v>
      </c>
      <c r="G1995">
        <v>217</v>
      </c>
      <c r="H1995">
        <v>1</v>
      </c>
      <c r="I1995">
        <v>2</v>
      </c>
      <c r="J1995">
        <v>8.9972904061745101E-2</v>
      </c>
      <c r="L1995">
        <v>-6.5624935913179798E-3</v>
      </c>
      <c r="M1995">
        <v>1</v>
      </c>
      <c r="O1995">
        <v>-6.5624935913179798E-3</v>
      </c>
    </row>
    <row r="1996" spans="1:15" hidden="1" x14ac:dyDescent="0.3">
      <c r="A1996" t="s">
        <v>73</v>
      </c>
      <c r="B1996" t="s">
        <v>217</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73</v>
      </c>
      <c r="B1997" t="s">
        <v>348</v>
      </c>
      <c r="C1997">
        <v>0</v>
      </c>
      <c r="D1997">
        <v>1</v>
      </c>
      <c r="E1997">
        <v>1</v>
      </c>
      <c r="F1997">
        <v>215</v>
      </c>
      <c r="G1997">
        <v>217</v>
      </c>
      <c r="H1997">
        <v>1</v>
      </c>
      <c r="I1997">
        <v>1</v>
      </c>
      <c r="J1997">
        <v>6.4493014968382195E-2</v>
      </c>
      <c r="L1997">
        <v>-4.6296296296296198E-3</v>
      </c>
      <c r="M1997">
        <v>1</v>
      </c>
      <c r="O1997">
        <v>-4.6296296296296198E-3</v>
      </c>
    </row>
    <row r="1998" spans="1:15" hidden="1" x14ac:dyDescent="0.3">
      <c r="A1998" t="s">
        <v>73</v>
      </c>
      <c r="B1998" t="s">
        <v>222</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73</v>
      </c>
      <c r="B1999" t="s">
        <v>269</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73</v>
      </c>
      <c r="B2000" t="s">
        <v>349</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73</v>
      </c>
      <c r="B2001" t="s">
        <v>274</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73</v>
      </c>
      <c r="B2002" t="s">
        <v>316</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73</v>
      </c>
      <c r="B2003" t="s">
        <v>350</v>
      </c>
      <c r="C2003">
        <v>0</v>
      </c>
      <c r="D2003">
        <v>1</v>
      </c>
      <c r="E2003">
        <v>1</v>
      </c>
      <c r="F2003">
        <v>215</v>
      </c>
      <c r="G2003">
        <v>217</v>
      </c>
      <c r="H2003">
        <v>1</v>
      </c>
      <c r="I2003">
        <v>1</v>
      </c>
      <c r="J2003">
        <v>6.4493014968382195E-2</v>
      </c>
      <c r="L2003">
        <v>-4.6296296296296198E-3</v>
      </c>
      <c r="M2003">
        <v>1</v>
      </c>
      <c r="O2003">
        <v>-4.6296296296296198E-3</v>
      </c>
    </row>
    <row r="2004" spans="1:15" hidden="1" x14ac:dyDescent="0.3">
      <c r="A2004" t="s">
        <v>73</v>
      </c>
      <c r="B2004" t="s">
        <v>218</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73</v>
      </c>
      <c r="B2005" t="s">
        <v>261</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73</v>
      </c>
      <c r="B2006" t="s">
        <v>277</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73</v>
      </c>
      <c r="B2007" t="s">
        <v>251</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73</v>
      </c>
      <c r="B2008" t="s">
        <v>259</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73</v>
      </c>
      <c r="B2009" t="s">
        <v>329</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73</v>
      </c>
      <c r="B2010" t="s">
        <v>360</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73</v>
      </c>
      <c r="B2011" t="s">
        <v>358</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73</v>
      </c>
      <c r="B2012" t="s">
        <v>312</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73</v>
      </c>
      <c r="B2013" t="s">
        <v>361</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73</v>
      </c>
      <c r="B2014" t="s">
        <v>288</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73</v>
      </c>
      <c r="B2015" t="s">
        <v>306</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73</v>
      </c>
      <c r="B2016" t="s">
        <v>345</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73</v>
      </c>
      <c r="B2017" t="s">
        <v>338</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73</v>
      </c>
      <c r="B2018" t="s">
        <v>267</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73</v>
      </c>
      <c r="B2019" t="s">
        <v>194</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73</v>
      </c>
      <c r="B2020" t="s">
        <v>328</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73</v>
      </c>
      <c r="B2021" t="s">
        <v>293</v>
      </c>
      <c r="C2021">
        <v>0</v>
      </c>
      <c r="D2021">
        <v>2</v>
      </c>
      <c r="E2021">
        <v>1</v>
      </c>
      <c r="F2021">
        <v>214</v>
      </c>
      <c r="G2021">
        <v>217</v>
      </c>
      <c r="H2021">
        <v>1</v>
      </c>
      <c r="I2021">
        <v>2</v>
      </c>
      <c r="J2021">
        <v>8.9972904061745101E-2</v>
      </c>
      <c r="L2021">
        <v>-6.5624935913179798E-3</v>
      </c>
      <c r="M2021">
        <v>1</v>
      </c>
      <c r="O2021">
        <v>-6.5624935913179798E-3</v>
      </c>
    </row>
    <row r="2022" spans="1:15" hidden="1" x14ac:dyDescent="0.3">
      <c r="A2022" t="s">
        <v>73</v>
      </c>
      <c r="B2022" t="s">
        <v>216</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73</v>
      </c>
      <c r="B2023" t="s">
        <v>297</v>
      </c>
      <c r="C2023">
        <v>0</v>
      </c>
      <c r="D2023">
        <v>1</v>
      </c>
      <c r="E2023">
        <v>1</v>
      </c>
      <c r="F2023">
        <v>215</v>
      </c>
      <c r="G2023">
        <v>217</v>
      </c>
      <c r="H2023">
        <v>1</v>
      </c>
      <c r="I2023">
        <v>1</v>
      </c>
      <c r="J2023">
        <v>6.4493014968382195E-2</v>
      </c>
      <c r="L2023">
        <v>-4.6296296296296198E-3</v>
      </c>
      <c r="M2023">
        <v>1</v>
      </c>
      <c r="O2023">
        <v>-4.6296296296296198E-3</v>
      </c>
    </row>
    <row r="2024" spans="1:15" hidden="1" x14ac:dyDescent="0.3">
      <c r="A2024" t="s">
        <v>73</v>
      </c>
      <c r="B2024" t="s">
        <v>264</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73</v>
      </c>
      <c r="B2025" t="s">
        <v>359</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73</v>
      </c>
      <c r="B2026" t="s">
        <v>313</v>
      </c>
      <c r="C2026">
        <v>0</v>
      </c>
      <c r="D2026">
        <v>1</v>
      </c>
      <c r="E2026">
        <v>1</v>
      </c>
      <c r="F2026">
        <v>215</v>
      </c>
      <c r="G2026">
        <v>217</v>
      </c>
      <c r="H2026">
        <v>1</v>
      </c>
      <c r="I2026">
        <v>1</v>
      </c>
      <c r="J2026">
        <v>6.4493014968382195E-2</v>
      </c>
      <c r="L2026">
        <v>-4.6296296296296198E-3</v>
      </c>
      <c r="M2026">
        <v>1</v>
      </c>
      <c r="O2026">
        <v>-4.6296296296296198E-3</v>
      </c>
    </row>
    <row r="2027" spans="1:15" hidden="1" x14ac:dyDescent="0.3">
      <c r="A2027" t="s">
        <v>73</v>
      </c>
      <c r="B2027" t="s">
        <v>331</v>
      </c>
      <c r="C2027">
        <v>0</v>
      </c>
      <c r="D2027">
        <v>2</v>
      </c>
      <c r="E2027">
        <v>1</v>
      </c>
      <c r="F2027">
        <v>214</v>
      </c>
      <c r="G2027">
        <v>217</v>
      </c>
      <c r="H2027">
        <v>1</v>
      </c>
      <c r="I2027">
        <v>2</v>
      </c>
      <c r="J2027">
        <v>8.9972904061745101E-2</v>
      </c>
      <c r="L2027">
        <v>-6.5624935913179798E-3</v>
      </c>
      <c r="M2027">
        <v>1</v>
      </c>
      <c r="O2027">
        <v>-6.5624935913179798E-3</v>
      </c>
    </row>
    <row r="2028" spans="1:15" hidden="1" x14ac:dyDescent="0.3">
      <c r="A2028" t="s">
        <v>73</v>
      </c>
      <c r="B2028" t="s">
        <v>285</v>
      </c>
      <c r="C2028">
        <v>0</v>
      </c>
      <c r="D2028">
        <v>1</v>
      </c>
      <c r="E2028">
        <v>1</v>
      </c>
      <c r="F2028">
        <v>215</v>
      </c>
      <c r="G2028">
        <v>217</v>
      </c>
      <c r="H2028">
        <v>1</v>
      </c>
      <c r="I2028">
        <v>1</v>
      </c>
      <c r="J2028">
        <v>6.4493014968382195E-2</v>
      </c>
      <c r="L2028">
        <v>-4.6296296296296198E-3</v>
      </c>
      <c r="M2028">
        <v>1</v>
      </c>
      <c r="O2028">
        <v>-4.6296296296296198E-3</v>
      </c>
    </row>
    <row r="2029" spans="1:15" x14ac:dyDescent="0.3">
      <c r="A2029" t="s">
        <v>73</v>
      </c>
      <c r="B2029" t="s">
        <v>152</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73</v>
      </c>
      <c r="B2030" t="s">
        <v>311</v>
      </c>
      <c r="C2030">
        <v>0</v>
      </c>
      <c r="D2030">
        <v>1</v>
      </c>
      <c r="E2030">
        <v>1</v>
      </c>
      <c r="F2030">
        <v>215</v>
      </c>
      <c r="G2030">
        <v>217</v>
      </c>
      <c r="H2030">
        <v>1</v>
      </c>
      <c r="I2030">
        <v>1</v>
      </c>
      <c r="J2030">
        <v>6.4493014968382195E-2</v>
      </c>
      <c r="L2030">
        <v>-4.6296296296296198E-3</v>
      </c>
      <c r="M2030">
        <v>1</v>
      </c>
      <c r="O2030">
        <v>-4.6296296296296198E-3</v>
      </c>
    </row>
    <row r="2031" spans="1:15" hidden="1" x14ac:dyDescent="0.3">
      <c r="A2031" t="s">
        <v>73</v>
      </c>
      <c r="B2031" t="s">
        <v>213</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73</v>
      </c>
      <c r="B2032" t="s">
        <v>330</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73</v>
      </c>
      <c r="B2033" t="s">
        <v>252</v>
      </c>
      <c r="C2033">
        <v>0</v>
      </c>
      <c r="D2033">
        <v>3</v>
      </c>
      <c r="E2033">
        <v>1</v>
      </c>
      <c r="F2033">
        <v>213</v>
      </c>
      <c r="G2033">
        <v>217</v>
      </c>
      <c r="H2033">
        <v>1</v>
      </c>
      <c r="I2033">
        <v>3</v>
      </c>
      <c r="J2033">
        <v>0.109052747711589</v>
      </c>
      <c r="L2033">
        <v>-8.0561374087138593E-3</v>
      </c>
      <c r="M2033">
        <v>1</v>
      </c>
      <c r="O2033">
        <v>-8.0561374087138593E-3</v>
      </c>
    </row>
    <row r="2034" spans="1:15" x14ac:dyDescent="0.3">
      <c r="A2034" t="s">
        <v>73</v>
      </c>
      <c r="B2034" t="s">
        <v>170</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73</v>
      </c>
      <c r="B2035" t="s">
        <v>281</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73</v>
      </c>
      <c r="B2036" t="s">
        <v>324</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73</v>
      </c>
      <c r="B2037" t="s">
        <v>278</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73</v>
      </c>
      <c r="B2038" t="s">
        <v>292</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73</v>
      </c>
      <c r="B2039" t="s">
        <v>172</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73</v>
      </c>
      <c r="B2040" t="s">
        <v>323</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73</v>
      </c>
      <c r="B2041" t="s">
        <v>326</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73</v>
      </c>
      <c r="B2042" t="s">
        <v>325</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73</v>
      </c>
      <c r="B2043" t="s">
        <v>256</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73</v>
      </c>
      <c r="B2044" t="s">
        <v>243</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73</v>
      </c>
      <c r="B2045" t="s">
        <v>327</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73</v>
      </c>
      <c r="B2046" t="s">
        <v>174</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73</v>
      </c>
      <c r="B2047" t="s">
        <v>260</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73</v>
      </c>
      <c r="B2048" t="s">
        <v>280</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73</v>
      </c>
      <c r="B2049" t="s">
        <v>318</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73</v>
      </c>
      <c r="B2050" t="s">
        <v>244</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73</v>
      </c>
      <c r="B2051" t="s">
        <v>336</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73</v>
      </c>
      <c r="B2052" t="s">
        <v>304</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73</v>
      </c>
      <c r="B2053" t="s">
        <v>270</v>
      </c>
      <c r="C2053">
        <v>0</v>
      </c>
      <c r="D2053">
        <v>3</v>
      </c>
      <c r="E2053">
        <v>1</v>
      </c>
      <c r="F2053">
        <v>213</v>
      </c>
      <c r="G2053">
        <v>217</v>
      </c>
      <c r="H2053">
        <v>1</v>
      </c>
      <c r="I2053">
        <v>3</v>
      </c>
      <c r="J2053">
        <v>0.109052747711589</v>
      </c>
      <c r="L2053">
        <v>-8.0561374087138593E-3</v>
      </c>
      <c r="M2053">
        <v>1</v>
      </c>
      <c r="O2053">
        <v>-8.0561374087138593E-3</v>
      </c>
    </row>
    <row r="2054" spans="1:15" x14ac:dyDescent="0.3">
      <c r="A2054" t="s">
        <v>73</v>
      </c>
      <c r="B2054" t="s">
        <v>257</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73</v>
      </c>
      <c r="B2055" t="s">
        <v>307</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73</v>
      </c>
      <c r="B2056" t="s">
        <v>286</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73</v>
      </c>
      <c r="B2057" t="s">
        <v>198</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73</v>
      </c>
      <c r="B2058" t="s">
        <v>289</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73</v>
      </c>
      <c r="B2059" t="s">
        <v>282</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73</v>
      </c>
      <c r="B2060" t="s">
        <v>291</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75</v>
      </c>
      <c r="B2061" t="s">
        <v>3</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75</v>
      </c>
      <c r="B2062" t="s">
        <v>314</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75</v>
      </c>
      <c r="B2063" t="s">
        <v>357</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75</v>
      </c>
      <c r="B2064" t="s">
        <v>356</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75</v>
      </c>
      <c r="B2065" t="s">
        <v>273</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75</v>
      </c>
      <c r="B2066" t="s">
        <v>242</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75</v>
      </c>
      <c r="B2067" t="s">
        <v>332</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75</v>
      </c>
      <c r="B2068" t="s">
        <v>355</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75</v>
      </c>
      <c r="B2069" t="s">
        <v>335</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75</v>
      </c>
      <c r="B2070" t="s">
        <v>266</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75</v>
      </c>
      <c r="B2071" t="s">
        <v>272</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75</v>
      </c>
      <c r="B2072" t="s">
        <v>310</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75</v>
      </c>
      <c r="B2073" t="s">
        <v>317</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75</v>
      </c>
      <c r="B2074" t="s">
        <v>362</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75</v>
      </c>
      <c r="B2075" t="s">
        <v>354</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75</v>
      </c>
      <c r="B2076" t="s">
        <v>353</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75</v>
      </c>
      <c r="B2077" t="s">
        <v>363</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75</v>
      </c>
      <c r="B2078" t="s">
        <v>305</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75</v>
      </c>
      <c r="B2079" t="s">
        <v>248</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75</v>
      </c>
      <c r="B2080" t="s">
        <v>342</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75</v>
      </c>
      <c r="B2081" t="s">
        <v>315</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75</v>
      </c>
      <c r="B2082" t="s">
        <v>247</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75</v>
      </c>
      <c r="B2083" t="s">
        <v>334</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75</v>
      </c>
      <c r="B2084" t="s">
        <v>300</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75</v>
      </c>
      <c r="B2085" t="s">
        <v>265</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75</v>
      </c>
      <c r="B2086" t="s">
        <v>271</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75</v>
      </c>
      <c r="B2087" t="s">
        <v>255</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75</v>
      </c>
      <c r="B2088" t="s">
        <v>319</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75</v>
      </c>
      <c r="B2089" t="s">
        <v>343</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75</v>
      </c>
      <c r="B2090" t="s">
        <v>258</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75</v>
      </c>
      <c r="B2091" t="s">
        <v>344</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75</v>
      </c>
      <c r="B2092" t="s">
        <v>276</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75</v>
      </c>
      <c r="B2093" t="s">
        <v>333</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75</v>
      </c>
      <c r="B2094" t="s">
        <v>263</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75</v>
      </c>
      <c r="B2095" t="s">
        <v>320</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75</v>
      </c>
      <c r="B2096" t="s">
        <v>275</v>
      </c>
      <c r="C2096">
        <v>0</v>
      </c>
      <c r="D2096">
        <v>11</v>
      </c>
      <c r="E2096">
        <v>11</v>
      </c>
      <c r="F2096">
        <v>195</v>
      </c>
      <c r="G2096">
        <v>217</v>
      </c>
      <c r="H2096">
        <v>11</v>
      </c>
      <c r="I2096">
        <v>11</v>
      </c>
      <c r="J2096">
        <v>0.51969469891020004</v>
      </c>
      <c r="L2096">
        <v>-5.3398058252427098E-2</v>
      </c>
      <c r="M2096">
        <v>1</v>
      </c>
      <c r="O2096">
        <v>-5.3398058252427098E-2</v>
      </c>
    </row>
    <row r="2097" spans="1:15" hidden="1" x14ac:dyDescent="0.3">
      <c r="A2097" t="s">
        <v>75</v>
      </c>
      <c r="B2097" t="s">
        <v>221</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75</v>
      </c>
      <c r="B2098" t="s">
        <v>322</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75</v>
      </c>
      <c r="B2099" t="s">
        <v>303</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75</v>
      </c>
      <c r="B2100" t="s">
        <v>302</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75</v>
      </c>
      <c r="B2101" t="s">
        <v>147</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75</v>
      </c>
      <c r="B2102" t="s">
        <v>284</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75</v>
      </c>
      <c r="B2103" t="s">
        <v>299</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75</v>
      </c>
      <c r="B2104" t="s">
        <v>301</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75</v>
      </c>
      <c r="B2105" t="s">
        <v>268</v>
      </c>
      <c r="C2105">
        <v>0</v>
      </c>
      <c r="D2105">
        <v>10</v>
      </c>
      <c r="E2105">
        <v>11</v>
      </c>
      <c r="F2105">
        <v>196</v>
      </c>
      <c r="G2105">
        <v>217</v>
      </c>
      <c r="H2105">
        <v>11</v>
      </c>
      <c r="I2105">
        <v>10</v>
      </c>
      <c r="J2105">
        <v>0.50302020059907404</v>
      </c>
      <c r="L2105">
        <v>-5.0789923613813001E-2</v>
      </c>
      <c r="M2105">
        <v>1</v>
      </c>
      <c r="O2105">
        <v>-5.0789923613813001E-2</v>
      </c>
    </row>
    <row r="2106" spans="1:15" hidden="1" x14ac:dyDescent="0.3">
      <c r="A2106" t="s">
        <v>75</v>
      </c>
      <c r="B2106" t="s">
        <v>351</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75</v>
      </c>
      <c r="B2107" t="s">
        <v>337</v>
      </c>
      <c r="C2107">
        <v>0</v>
      </c>
      <c r="D2107">
        <v>3</v>
      </c>
      <c r="E2107">
        <v>11</v>
      </c>
      <c r="F2107">
        <v>203</v>
      </c>
      <c r="G2107">
        <v>217</v>
      </c>
      <c r="H2107">
        <v>11</v>
      </c>
      <c r="I2107">
        <v>3</v>
      </c>
      <c r="J2107">
        <v>0.318167220875399</v>
      </c>
      <c r="L2107">
        <v>-2.73600239415237E-2</v>
      </c>
      <c r="M2107">
        <v>1</v>
      </c>
      <c r="O2107">
        <v>-2.73600239415237E-2</v>
      </c>
    </row>
    <row r="2108" spans="1:15" hidden="1" x14ac:dyDescent="0.3">
      <c r="A2108" t="s">
        <v>75</v>
      </c>
      <c r="B2108" t="s">
        <v>212</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75</v>
      </c>
      <c r="B2109" t="s">
        <v>246</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75</v>
      </c>
      <c r="B2110" t="s">
        <v>347</v>
      </c>
      <c r="C2110">
        <v>0</v>
      </c>
      <c r="D2110">
        <v>1</v>
      </c>
      <c r="E2110">
        <v>11</v>
      </c>
      <c r="F2110">
        <v>205</v>
      </c>
      <c r="G2110">
        <v>217</v>
      </c>
      <c r="H2110">
        <v>11</v>
      </c>
      <c r="I2110">
        <v>1</v>
      </c>
      <c r="J2110">
        <v>0.19837015644199599</v>
      </c>
      <c r="L2110">
        <v>-1.5723016016341299E-2</v>
      </c>
      <c r="M2110">
        <v>1</v>
      </c>
      <c r="O2110">
        <v>-1.5723016016341299E-2</v>
      </c>
    </row>
    <row r="2111" spans="1:15" hidden="1" x14ac:dyDescent="0.3">
      <c r="A2111" t="s">
        <v>75</v>
      </c>
      <c r="B2111" t="s">
        <v>153</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75</v>
      </c>
      <c r="B2112" t="s">
        <v>283</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75</v>
      </c>
      <c r="B2113" t="s">
        <v>5</v>
      </c>
      <c r="C2113">
        <v>0</v>
      </c>
      <c r="D2113">
        <v>3</v>
      </c>
      <c r="E2113">
        <v>11</v>
      </c>
      <c r="F2113">
        <v>203</v>
      </c>
      <c r="G2113">
        <v>217</v>
      </c>
      <c r="H2113">
        <v>11</v>
      </c>
      <c r="I2113">
        <v>3</v>
      </c>
      <c r="J2113">
        <v>0.318167220875399</v>
      </c>
      <c r="L2113">
        <v>-2.73600239415237E-2</v>
      </c>
      <c r="M2113">
        <v>1</v>
      </c>
      <c r="O2113">
        <v>-2.73600239415237E-2</v>
      </c>
    </row>
    <row r="2114" spans="1:15" hidden="1" x14ac:dyDescent="0.3">
      <c r="A2114" t="s">
        <v>75</v>
      </c>
      <c r="B2114" t="s">
        <v>219</v>
      </c>
      <c r="C2114">
        <v>0</v>
      </c>
      <c r="D2114">
        <v>4</v>
      </c>
      <c r="E2114">
        <v>11</v>
      </c>
      <c r="F2114">
        <v>202</v>
      </c>
      <c r="G2114">
        <v>217</v>
      </c>
      <c r="H2114">
        <v>11</v>
      </c>
      <c r="I2114">
        <v>4</v>
      </c>
      <c r="J2114">
        <v>0.35738959391717101</v>
      </c>
      <c r="L2114">
        <v>-3.1666708649073297E-2</v>
      </c>
      <c r="M2114">
        <v>1</v>
      </c>
      <c r="O2114">
        <v>-3.1666708649073297E-2</v>
      </c>
    </row>
    <row r="2115" spans="1:15" hidden="1" x14ac:dyDescent="0.3">
      <c r="A2115" t="s">
        <v>75</v>
      </c>
      <c r="B2115" t="s">
        <v>220</v>
      </c>
      <c r="C2115">
        <v>0</v>
      </c>
      <c r="D2115">
        <v>5</v>
      </c>
      <c r="E2115">
        <v>11</v>
      </c>
      <c r="F2115">
        <v>201</v>
      </c>
      <c r="G2115">
        <v>217</v>
      </c>
      <c r="H2115">
        <v>11</v>
      </c>
      <c r="I2115">
        <v>5</v>
      </c>
      <c r="J2115">
        <v>0.39007131133293199</v>
      </c>
      <c r="L2115">
        <v>-3.5487859421650503E-2</v>
      </c>
      <c r="M2115">
        <v>1</v>
      </c>
      <c r="O2115">
        <v>-3.5487859421650503E-2</v>
      </c>
    </row>
    <row r="2116" spans="1:15" hidden="1" x14ac:dyDescent="0.3">
      <c r="A2116" t="s">
        <v>75</v>
      </c>
      <c r="B2116" t="s">
        <v>279</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75</v>
      </c>
      <c r="B2117" t="s">
        <v>262</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75</v>
      </c>
      <c r="B2118" t="s">
        <v>321</v>
      </c>
      <c r="C2118">
        <v>0</v>
      </c>
      <c r="D2118">
        <v>1</v>
      </c>
      <c r="E2118">
        <v>11</v>
      </c>
      <c r="F2118">
        <v>205</v>
      </c>
      <c r="G2118">
        <v>217</v>
      </c>
      <c r="H2118">
        <v>11</v>
      </c>
      <c r="I2118">
        <v>1</v>
      </c>
      <c r="J2118">
        <v>0.19837015644199599</v>
      </c>
      <c r="L2118">
        <v>-1.5723016016341299E-2</v>
      </c>
      <c r="M2118">
        <v>1</v>
      </c>
      <c r="O2118">
        <v>-1.5723016016341299E-2</v>
      </c>
    </row>
    <row r="2119" spans="1:15" hidden="1" x14ac:dyDescent="0.3">
      <c r="A2119" t="s">
        <v>75</v>
      </c>
      <c r="B2119" t="s">
        <v>215</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75</v>
      </c>
      <c r="B2120" t="s">
        <v>341</v>
      </c>
      <c r="C2120">
        <v>0</v>
      </c>
      <c r="D2120">
        <v>1</v>
      </c>
      <c r="E2120">
        <v>11</v>
      </c>
      <c r="F2120">
        <v>205</v>
      </c>
      <c r="G2120">
        <v>217</v>
      </c>
      <c r="H2120">
        <v>11</v>
      </c>
      <c r="I2120">
        <v>1</v>
      </c>
      <c r="J2120">
        <v>0.19837015644199599</v>
      </c>
      <c r="L2120">
        <v>-1.5723016016341299E-2</v>
      </c>
      <c r="M2120">
        <v>1</v>
      </c>
      <c r="O2120">
        <v>-1.5723016016341299E-2</v>
      </c>
    </row>
    <row r="2121" spans="1:15" hidden="1" x14ac:dyDescent="0.3">
      <c r="A2121" t="s">
        <v>75</v>
      </c>
      <c r="B2121" t="s">
        <v>214</v>
      </c>
      <c r="C2121">
        <v>0</v>
      </c>
      <c r="D2121">
        <v>3</v>
      </c>
      <c r="E2121">
        <v>11</v>
      </c>
      <c r="F2121">
        <v>203</v>
      </c>
      <c r="G2121">
        <v>217</v>
      </c>
      <c r="H2121">
        <v>11</v>
      </c>
      <c r="I2121">
        <v>3</v>
      </c>
      <c r="J2121">
        <v>0.318167220875399</v>
      </c>
      <c r="L2121">
        <v>-2.73600239415237E-2</v>
      </c>
      <c r="M2121">
        <v>1</v>
      </c>
      <c r="O2121">
        <v>-2.73600239415237E-2</v>
      </c>
    </row>
    <row r="2122" spans="1:15" hidden="1" x14ac:dyDescent="0.3">
      <c r="A2122" t="s">
        <v>75</v>
      </c>
      <c r="B2122" t="s">
        <v>352</v>
      </c>
      <c r="C2122">
        <v>0</v>
      </c>
      <c r="D2122">
        <v>1</v>
      </c>
      <c r="E2122">
        <v>11</v>
      </c>
      <c r="F2122">
        <v>205</v>
      </c>
      <c r="G2122">
        <v>217</v>
      </c>
      <c r="H2122">
        <v>11</v>
      </c>
      <c r="I2122">
        <v>1</v>
      </c>
      <c r="J2122">
        <v>0.19837015644199599</v>
      </c>
      <c r="L2122">
        <v>-1.5723016016341299E-2</v>
      </c>
      <c r="M2122">
        <v>1</v>
      </c>
      <c r="O2122">
        <v>-1.5723016016341299E-2</v>
      </c>
    </row>
    <row r="2123" spans="1:15" x14ac:dyDescent="0.3">
      <c r="A2123" t="s">
        <v>75</v>
      </c>
      <c r="B2123" t="s">
        <v>169</v>
      </c>
      <c r="C2123">
        <v>0</v>
      </c>
      <c r="D2123">
        <v>2</v>
      </c>
      <c r="E2123">
        <v>11</v>
      </c>
      <c r="F2123">
        <v>204</v>
      </c>
      <c r="G2123">
        <v>217</v>
      </c>
      <c r="H2123">
        <v>11</v>
      </c>
      <c r="I2123">
        <v>2</v>
      </c>
      <c r="J2123">
        <v>0.26852657159596099</v>
      </c>
      <c r="L2123">
        <v>-2.22873534381808E-2</v>
      </c>
      <c r="M2123">
        <v>1</v>
      </c>
      <c r="O2123">
        <v>-2.22873534381808E-2</v>
      </c>
    </row>
    <row r="2124" spans="1:15" x14ac:dyDescent="0.3">
      <c r="A2124" t="s">
        <v>75</v>
      </c>
      <c r="B2124" t="s">
        <v>175</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75</v>
      </c>
      <c r="B2125" t="s">
        <v>340</v>
      </c>
      <c r="C2125">
        <v>0</v>
      </c>
      <c r="D2125">
        <v>1</v>
      </c>
      <c r="E2125">
        <v>11</v>
      </c>
      <c r="F2125">
        <v>205</v>
      </c>
      <c r="G2125">
        <v>217</v>
      </c>
      <c r="H2125">
        <v>11</v>
      </c>
      <c r="I2125">
        <v>1</v>
      </c>
      <c r="J2125">
        <v>0.19837015644199599</v>
      </c>
      <c r="L2125">
        <v>-1.5723016016341299E-2</v>
      </c>
      <c r="M2125">
        <v>1</v>
      </c>
      <c r="O2125">
        <v>-1.5723016016341299E-2</v>
      </c>
    </row>
    <row r="2126" spans="1:15" hidden="1" x14ac:dyDescent="0.3">
      <c r="A2126" t="s">
        <v>75</v>
      </c>
      <c r="B2126" t="s">
        <v>190</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75</v>
      </c>
      <c r="B2127" t="s">
        <v>346</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75</v>
      </c>
      <c r="B2128" t="s">
        <v>148</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75</v>
      </c>
      <c r="B2129" t="s">
        <v>173</v>
      </c>
      <c r="C2129">
        <v>0</v>
      </c>
      <c r="D2129">
        <v>2</v>
      </c>
      <c r="E2129">
        <v>11</v>
      </c>
      <c r="F2129">
        <v>204</v>
      </c>
      <c r="G2129">
        <v>217</v>
      </c>
      <c r="H2129">
        <v>11</v>
      </c>
      <c r="I2129">
        <v>2</v>
      </c>
      <c r="J2129">
        <v>0.26852657159596099</v>
      </c>
      <c r="L2129">
        <v>-2.22873534381808E-2</v>
      </c>
      <c r="M2129">
        <v>1</v>
      </c>
      <c r="O2129">
        <v>-2.22873534381808E-2</v>
      </c>
    </row>
    <row r="2130" spans="1:15" hidden="1" x14ac:dyDescent="0.3">
      <c r="A2130" t="s">
        <v>75</v>
      </c>
      <c r="B2130" t="s">
        <v>217</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75</v>
      </c>
      <c r="B2131" t="s">
        <v>348</v>
      </c>
      <c r="C2131">
        <v>0</v>
      </c>
      <c r="D2131">
        <v>1</v>
      </c>
      <c r="E2131">
        <v>11</v>
      </c>
      <c r="F2131">
        <v>205</v>
      </c>
      <c r="G2131">
        <v>217</v>
      </c>
      <c r="H2131">
        <v>11</v>
      </c>
      <c r="I2131">
        <v>1</v>
      </c>
      <c r="J2131">
        <v>0.19837015644199599</v>
      </c>
      <c r="L2131">
        <v>-1.5723016016341299E-2</v>
      </c>
      <c r="M2131">
        <v>1</v>
      </c>
      <c r="O2131">
        <v>-1.5723016016341299E-2</v>
      </c>
    </row>
    <row r="2132" spans="1:15" hidden="1" x14ac:dyDescent="0.3">
      <c r="A2132" t="s">
        <v>75</v>
      </c>
      <c r="B2132" t="s">
        <v>222</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75</v>
      </c>
      <c r="B2133" t="s">
        <v>269</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75</v>
      </c>
      <c r="B2134" t="s">
        <v>349</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75</v>
      </c>
      <c r="B2135" t="s">
        <v>274</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75</v>
      </c>
      <c r="B2136" t="s">
        <v>316</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75</v>
      </c>
      <c r="B2137" t="s">
        <v>350</v>
      </c>
      <c r="C2137">
        <v>0</v>
      </c>
      <c r="D2137">
        <v>1</v>
      </c>
      <c r="E2137">
        <v>11</v>
      </c>
      <c r="F2137">
        <v>205</v>
      </c>
      <c r="G2137">
        <v>217</v>
      </c>
      <c r="H2137">
        <v>11</v>
      </c>
      <c r="I2137">
        <v>1</v>
      </c>
      <c r="J2137">
        <v>0.19837015644199599</v>
      </c>
      <c r="L2137">
        <v>-1.5723016016341299E-2</v>
      </c>
      <c r="M2137">
        <v>1</v>
      </c>
      <c r="O2137">
        <v>-1.5723016016341299E-2</v>
      </c>
    </row>
    <row r="2138" spans="1:15" hidden="1" x14ac:dyDescent="0.3">
      <c r="A2138" t="s">
        <v>75</v>
      </c>
      <c r="B2138" t="s">
        <v>218</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75</v>
      </c>
      <c r="B2139" t="s">
        <v>259</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75</v>
      </c>
      <c r="B2140" t="s">
        <v>329</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75</v>
      </c>
      <c r="B2141" t="s">
        <v>360</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75</v>
      </c>
      <c r="B2142" t="s">
        <v>358</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75</v>
      </c>
      <c r="B2143" t="s">
        <v>312</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75</v>
      </c>
      <c r="B2144" t="s">
        <v>361</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75</v>
      </c>
      <c r="B2145" t="s">
        <v>288</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75</v>
      </c>
      <c r="B2146" t="s">
        <v>345</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75</v>
      </c>
      <c r="B2147" t="s">
        <v>338</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75</v>
      </c>
      <c r="B2148" t="s">
        <v>328</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75</v>
      </c>
      <c r="B2149" t="s">
        <v>293</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75</v>
      </c>
      <c r="B2150" t="s">
        <v>297</v>
      </c>
      <c r="C2150">
        <v>0</v>
      </c>
      <c r="D2150">
        <v>1</v>
      </c>
      <c r="E2150">
        <v>11</v>
      </c>
      <c r="F2150">
        <v>205</v>
      </c>
      <c r="G2150">
        <v>217</v>
      </c>
      <c r="H2150">
        <v>11</v>
      </c>
      <c r="I2150">
        <v>1</v>
      </c>
      <c r="J2150">
        <v>0.19837015644199599</v>
      </c>
      <c r="L2150">
        <v>-1.5723016016341299E-2</v>
      </c>
      <c r="M2150">
        <v>1</v>
      </c>
      <c r="O2150">
        <v>-1.5723016016341299E-2</v>
      </c>
    </row>
    <row r="2151" spans="1:15" hidden="1" x14ac:dyDescent="0.3">
      <c r="A2151" t="s">
        <v>75</v>
      </c>
      <c r="B2151" t="s">
        <v>264</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75</v>
      </c>
      <c r="B2152" t="s">
        <v>359</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75</v>
      </c>
      <c r="B2153" t="s">
        <v>313</v>
      </c>
      <c r="C2153">
        <v>0</v>
      </c>
      <c r="D2153">
        <v>1</v>
      </c>
      <c r="E2153">
        <v>11</v>
      </c>
      <c r="F2153">
        <v>205</v>
      </c>
      <c r="G2153">
        <v>217</v>
      </c>
      <c r="H2153">
        <v>11</v>
      </c>
      <c r="I2153">
        <v>1</v>
      </c>
      <c r="J2153">
        <v>0.19837015644199599</v>
      </c>
      <c r="L2153">
        <v>-1.5723016016341299E-2</v>
      </c>
      <c r="M2153">
        <v>1</v>
      </c>
      <c r="O2153">
        <v>-1.5723016016341299E-2</v>
      </c>
    </row>
    <row r="2154" spans="1:15" hidden="1" x14ac:dyDescent="0.3">
      <c r="A2154" t="s">
        <v>75</v>
      </c>
      <c r="B2154" t="s">
        <v>331</v>
      </c>
      <c r="C2154">
        <v>0</v>
      </c>
      <c r="D2154">
        <v>2</v>
      </c>
      <c r="E2154">
        <v>11</v>
      </c>
      <c r="F2154">
        <v>204</v>
      </c>
      <c r="G2154">
        <v>217</v>
      </c>
      <c r="H2154">
        <v>11</v>
      </c>
      <c r="I2154">
        <v>2</v>
      </c>
      <c r="J2154">
        <v>0.26852657159596099</v>
      </c>
      <c r="L2154">
        <v>-2.22873534381808E-2</v>
      </c>
      <c r="M2154">
        <v>1</v>
      </c>
      <c r="O2154">
        <v>-2.22873534381808E-2</v>
      </c>
    </row>
    <row r="2155" spans="1:15" hidden="1" x14ac:dyDescent="0.3">
      <c r="A2155" t="s">
        <v>75</v>
      </c>
      <c r="B2155" t="s">
        <v>285</v>
      </c>
      <c r="C2155">
        <v>0</v>
      </c>
      <c r="D2155">
        <v>1</v>
      </c>
      <c r="E2155">
        <v>11</v>
      </c>
      <c r="F2155">
        <v>205</v>
      </c>
      <c r="G2155">
        <v>217</v>
      </c>
      <c r="H2155">
        <v>11</v>
      </c>
      <c r="I2155">
        <v>1</v>
      </c>
      <c r="J2155">
        <v>0.19837015644199599</v>
      </c>
      <c r="L2155">
        <v>-1.5723016016341299E-2</v>
      </c>
      <c r="M2155">
        <v>1</v>
      </c>
      <c r="O2155">
        <v>-1.5723016016341299E-2</v>
      </c>
    </row>
    <row r="2156" spans="1:15" x14ac:dyDescent="0.3">
      <c r="A2156" t="s">
        <v>75</v>
      </c>
      <c r="B2156" t="s">
        <v>152</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75</v>
      </c>
      <c r="B2157" t="s">
        <v>311</v>
      </c>
      <c r="C2157">
        <v>0</v>
      </c>
      <c r="D2157">
        <v>1</v>
      </c>
      <c r="E2157">
        <v>11</v>
      </c>
      <c r="F2157">
        <v>205</v>
      </c>
      <c r="G2157">
        <v>217</v>
      </c>
      <c r="H2157">
        <v>11</v>
      </c>
      <c r="I2157">
        <v>1</v>
      </c>
      <c r="J2157">
        <v>0.19837015644199599</v>
      </c>
      <c r="L2157">
        <v>-1.5723016016341299E-2</v>
      </c>
      <c r="M2157">
        <v>1</v>
      </c>
      <c r="O2157">
        <v>-1.5723016016341299E-2</v>
      </c>
    </row>
    <row r="2158" spans="1:15" hidden="1" x14ac:dyDescent="0.3">
      <c r="A2158" t="s">
        <v>75</v>
      </c>
      <c r="B2158" t="s">
        <v>213</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75</v>
      </c>
      <c r="B2159" t="s">
        <v>330</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75</v>
      </c>
      <c r="B2160" t="s">
        <v>252</v>
      </c>
      <c r="C2160">
        <v>0</v>
      </c>
      <c r="D2160">
        <v>3</v>
      </c>
      <c r="E2160">
        <v>11</v>
      </c>
      <c r="F2160">
        <v>203</v>
      </c>
      <c r="G2160">
        <v>217</v>
      </c>
      <c r="H2160">
        <v>11</v>
      </c>
      <c r="I2160">
        <v>3</v>
      </c>
      <c r="J2160">
        <v>0.318167220875399</v>
      </c>
      <c r="L2160">
        <v>-2.73600239415237E-2</v>
      </c>
      <c r="M2160">
        <v>1</v>
      </c>
      <c r="O2160">
        <v>-2.73600239415237E-2</v>
      </c>
    </row>
    <row r="2161" spans="1:15" x14ac:dyDescent="0.3">
      <c r="A2161" t="s">
        <v>75</v>
      </c>
      <c r="B2161" t="s">
        <v>170</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75</v>
      </c>
      <c r="B2162" t="s">
        <v>281</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75</v>
      </c>
      <c r="B2163" t="s">
        <v>324</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75</v>
      </c>
      <c r="B2164" t="s">
        <v>278</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75</v>
      </c>
      <c r="B2165" t="s">
        <v>292</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75</v>
      </c>
      <c r="B2166" t="s">
        <v>172</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75</v>
      </c>
      <c r="B2167" t="s">
        <v>323</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75</v>
      </c>
      <c r="B2168" t="s">
        <v>326</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75</v>
      </c>
      <c r="B2169" t="s">
        <v>325</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75</v>
      </c>
      <c r="B2170" t="s">
        <v>243</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75</v>
      </c>
      <c r="B2171" t="s">
        <v>327</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75</v>
      </c>
      <c r="B2172" t="s">
        <v>174</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75</v>
      </c>
      <c r="B2173" t="s">
        <v>260</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75</v>
      </c>
      <c r="B2174" t="s">
        <v>280</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75</v>
      </c>
      <c r="B2175" t="s">
        <v>318</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75</v>
      </c>
      <c r="B2176" t="s">
        <v>336</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75</v>
      </c>
      <c r="B2177" t="s">
        <v>304</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75</v>
      </c>
      <c r="B2178" t="s">
        <v>270</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75</v>
      </c>
      <c r="B2179" t="s">
        <v>286</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75</v>
      </c>
      <c r="B2180" t="s">
        <v>198</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75</v>
      </c>
      <c r="B2181" t="s">
        <v>282</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75</v>
      </c>
      <c r="B2182" t="s">
        <v>291</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79</v>
      </c>
      <c r="B2183" t="s">
        <v>314</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79</v>
      </c>
      <c r="B2184" t="s">
        <v>357</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79</v>
      </c>
      <c r="B2185" t="s">
        <v>356</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79</v>
      </c>
      <c r="B2186" t="s">
        <v>273</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79</v>
      </c>
      <c r="B2187" t="s">
        <v>355</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79</v>
      </c>
      <c r="B2188" t="s">
        <v>335</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79</v>
      </c>
      <c r="B2189" t="s">
        <v>266</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79</v>
      </c>
      <c r="B2190" t="s">
        <v>272</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79</v>
      </c>
      <c r="B2191" t="s">
        <v>310</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79</v>
      </c>
      <c r="B2192" t="s">
        <v>317</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79</v>
      </c>
      <c r="B2193" t="s">
        <v>362</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79</v>
      </c>
      <c r="B2194" t="s">
        <v>354</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79</v>
      </c>
      <c r="B2195" t="s">
        <v>353</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79</v>
      </c>
      <c r="B2196" t="s">
        <v>363</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79</v>
      </c>
      <c r="B2197" t="s">
        <v>305</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79</v>
      </c>
      <c r="B2198" t="s">
        <v>339</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79</v>
      </c>
      <c r="B2199" t="s">
        <v>248</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79</v>
      </c>
      <c r="B2200" t="s">
        <v>255</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79</v>
      </c>
      <c r="B2201" t="s">
        <v>308</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79</v>
      </c>
      <c r="B2202" t="s">
        <v>319</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79</v>
      </c>
      <c r="B2203" t="s">
        <v>245</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79</v>
      </c>
      <c r="B2204" t="s">
        <v>263</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79</v>
      </c>
      <c r="B2205" t="s">
        <v>301</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79</v>
      </c>
      <c r="B2206" t="s">
        <v>290</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79</v>
      </c>
      <c r="B2207" t="s">
        <v>337</v>
      </c>
      <c r="C2207">
        <v>0</v>
      </c>
      <c r="D2207">
        <v>3</v>
      </c>
      <c r="E2207">
        <v>69</v>
      </c>
      <c r="F2207">
        <v>145</v>
      </c>
      <c r="G2207">
        <v>217</v>
      </c>
      <c r="H2207">
        <v>69</v>
      </c>
      <c r="I2207">
        <v>3</v>
      </c>
      <c r="J2207">
        <v>0.61678776490966802</v>
      </c>
      <c r="L2207">
        <v>-8.0843932047033995E-2</v>
      </c>
      <c r="M2207">
        <v>0.55311327831957902</v>
      </c>
      <c r="O2207">
        <v>-8.0843932047033995E-2</v>
      </c>
    </row>
    <row r="2208" spans="1:15" hidden="1" x14ac:dyDescent="0.3">
      <c r="A2208" t="s">
        <v>79</v>
      </c>
      <c r="B2208" t="s">
        <v>212</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79</v>
      </c>
      <c r="B2209" t="s">
        <v>283</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79</v>
      </c>
      <c r="B2210" t="s">
        <v>5</v>
      </c>
      <c r="C2210">
        <v>0</v>
      </c>
      <c r="D2210">
        <v>3</v>
      </c>
      <c r="E2210">
        <v>69</v>
      </c>
      <c r="F2210">
        <v>145</v>
      </c>
      <c r="G2210">
        <v>217</v>
      </c>
      <c r="H2210">
        <v>69</v>
      </c>
      <c r="I2210">
        <v>3</v>
      </c>
      <c r="J2210">
        <v>0.61678776490966802</v>
      </c>
      <c r="L2210">
        <v>-8.0843932047033995E-2</v>
      </c>
      <c r="M2210">
        <v>0.55311327831957902</v>
      </c>
      <c r="O2210">
        <v>-8.0843932047033995E-2</v>
      </c>
    </row>
    <row r="2211" spans="1:15" hidden="1" x14ac:dyDescent="0.3">
      <c r="A2211" t="s">
        <v>79</v>
      </c>
      <c r="B2211" t="s">
        <v>220</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79</v>
      </c>
      <c r="B2212" t="s">
        <v>201</v>
      </c>
      <c r="C2212">
        <v>0</v>
      </c>
      <c r="D2212">
        <v>4</v>
      </c>
      <c r="E2212">
        <v>69</v>
      </c>
      <c r="F2212">
        <v>144</v>
      </c>
      <c r="G2212">
        <v>217</v>
      </c>
      <c r="H2212">
        <v>69</v>
      </c>
      <c r="I2212">
        <v>4</v>
      </c>
      <c r="J2212">
        <v>0.66963257948578803</v>
      </c>
      <c r="L2212">
        <v>-9.3569407967277293E-2</v>
      </c>
      <c r="M2212">
        <v>0.30948344562776198</v>
      </c>
      <c r="O2212">
        <v>-9.3569407967277293E-2</v>
      </c>
    </row>
    <row r="2213" spans="1:15" hidden="1" x14ac:dyDescent="0.3">
      <c r="A2213" t="s">
        <v>79</v>
      </c>
      <c r="B2213" t="s">
        <v>279</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79</v>
      </c>
      <c r="B2214" t="s">
        <v>262</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79</v>
      </c>
      <c r="B2215" t="s">
        <v>321</v>
      </c>
      <c r="C2215">
        <v>0</v>
      </c>
      <c r="D2215">
        <v>1</v>
      </c>
      <c r="E2215">
        <v>69</v>
      </c>
      <c r="F2215">
        <v>147</v>
      </c>
      <c r="G2215">
        <v>217</v>
      </c>
      <c r="H2215">
        <v>69</v>
      </c>
      <c r="I2215">
        <v>1</v>
      </c>
      <c r="J2215">
        <v>0.42522402580291102</v>
      </c>
      <c r="L2215">
        <v>-4.6458674199856401E-2</v>
      </c>
      <c r="M2215">
        <v>1</v>
      </c>
      <c r="O2215">
        <v>-4.6458674199856401E-2</v>
      </c>
    </row>
    <row r="2216" spans="1:15" hidden="1" x14ac:dyDescent="0.3">
      <c r="A2216" t="s">
        <v>79</v>
      </c>
      <c r="B2216" t="s">
        <v>215</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79</v>
      </c>
      <c r="B2217" t="s">
        <v>253</v>
      </c>
      <c r="C2217">
        <v>0</v>
      </c>
      <c r="D2217">
        <v>9</v>
      </c>
      <c r="E2217">
        <v>69</v>
      </c>
      <c r="F2217">
        <v>139</v>
      </c>
      <c r="G2217">
        <v>217</v>
      </c>
      <c r="H2217">
        <v>69</v>
      </c>
      <c r="I2217">
        <v>9</v>
      </c>
      <c r="J2217">
        <v>0.810112744030964</v>
      </c>
      <c r="L2217">
        <v>-0.142031042549919</v>
      </c>
      <c r="M2217">
        <v>6.0257552036296999E-2</v>
      </c>
      <c r="O2217">
        <v>-0.142031042549919</v>
      </c>
    </row>
    <row r="2218" spans="1:15" hidden="1" x14ac:dyDescent="0.3">
      <c r="A2218" t="s">
        <v>79</v>
      </c>
      <c r="B2218" t="s">
        <v>214</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79</v>
      </c>
      <c r="B2219" t="s">
        <v>168</v>
      </c>
      <c r="C2219">
        <v>0</v>
      </c>
      <c r="D2219">
        <v>5</v>
      </c>
      <c r="E2219">
        <v>69</v>
      </c>
      <c r="F2219">
        <v>143</v>
      </c>
      <c r="G2219">
        <v>217</v>
      </c>
      <c r="H2219">
        <v>69</v>
      </c>
      <c r="I2219">
        <v>5</v>
      </c>
      <c r="J2219">
        <v>0.71011714176699903</v>
      </c>
      <c r="L2219">
        <v>-0.104860218752382</v>
      </c>
      <c r="M2219">
        <v>0.180743624983074</v>
      </c>
      <c r="O2219">
        <v>-0.104860218752382</v>
      </c>
    </row>
    <row r="2220" spans="1:15" hidden="1" x14ac:dyDescent="0.3">
      <c r="A2220" t="s">
        <v>79</v>
      </c>
      <c r="B2220" t="s">
        <v>352</v>
      </c>
      <c r="C2220">
        <v>0</v>
      </c>
      <c r="D2220">
        <v>1</v>
      </c>
      <c r="E2220">
        <v>69</v>
      </c>
      <c r="F2220">
        <v>147</v>
      </c>
      <c r="G2220">
        <v>217</v>
      </c>
      <c r="H2220">
        <v>69</v>
      </c>
      <c r="I2220">
        <v>1</v>
      </c>
      <c r="J2220">
        <v>0.42522402580291102</v>
      </c>
      <c r="L2220">
        <v>-4.6458674199856401E-2</v>
      </c>
      <c r="M2220">
        <v>1</v>
      </c>
      <c r="O2220">
        <v>-4.6458674199856401E-2</v>
      </c>
    </row>
    <row r="2221" spans="1:15" x14ac:dyDescent="0.3">
      <c r="A2221" t="s">
        <v>79</v>
      </c>
      <c r="B2221" t="s">
        <v>169</v>
      </c>
      <c r="C2221">
        <v>0</v>
      </c>
      <c r="D2221">
        <v>2</v>
      </c>
      <c r="E2221">
        <v>69</v>
      </c>
      <c r="F2221">
        <v>146</v>
      </c>
      <c r="G2221">
        <v>217</v>
      </c>
      <c r="H2221">
        <v>69</v>
      </c>
      <c r="I2221">
        <v>2</v>
      </c>
      <c r="J2221">
        <v>0.54303844131915402</v>
      </c>
      <c r="L2221">
        <v>-6.5855106366700597E-2</v>
      </c>
      <c r="M2221">
        <v>1</v>
      </c>
      <c r="O2221">
        <v>-6.5855106366700597E-2</v>
      </c>
    </row>
    <row r="2222" spans="1:15" x14ac:dyDescent="0.3">
      <c r="A2222" t="s">
        <v>79</v>
      </c>
      <c r="B2222" t="s">
        <v>175</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79</v>
      </c>
      <c r="B2223" t="s">
        <v>309</v>
      </c>
      <c r="C2223">
        <v>0</v>
      </c>
      <c r="D2223">
        <v>1</v>
      </c>
      <c r="E2223">
        <v>69</v>
      </c>
      <c r="F2223">
        <v>147</v>
      </c>
      <c r="G2223">
        <v>217</v>
      </c>
      <c r="H2223">
        <v>69</v>
      </c>
      <c r="I2223">
        <v>1</v>
      </c>
      <c r="J2223">
        <v>0.42522402580291102</v>
      </c>
      <c r="L2223">
        <v>-4.6458674199856401E-2</v>
      </c>
      <c r="M2223">
        <v>1</v>
      </c>
      <c r="O2223">
        <v>-4.6458674199856401E-2</v>
      </c>
    </row>
    <row r="2224" spans="1:15" hidden="1" x14ac:dyDescent="0.3">
      <c r="A2224" t="s">
        <v>79</v>
      </c>
      <c r="B2224" t="s">
        <v>217</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79</v>
      </c>
      <c r="B2225" t="s">
        <v>274</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79</v>
      </c>
      <c r="B2226" t="s">
        <v>316</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79</v>
      </c>
      <c r="B2227" t="s">
        <v>261</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79</v>
      </c>
      <c r="B2228" t="s">
        <v>277</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79</v>
      </c>
      <c r="B2229" t="s">
        <v>329</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79</v>
      </c>
      <c r="B2230" t="s">
        <v>360</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79</v>
      </c>
      <c r="B2231" t="s">
        <v>312</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79</v>
      </c>
      <c r="B2232" t="s">
        <v>288</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79</v>
      </c>
      <c r="B2233" t="s">
        <v>306</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79</v>
      </c>
      <c r="B2234" t="s">
        <v>328</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79</v>
      </c>
      <c r="B2235" t="s">
        <v>293</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79</v>
      </c>
      <c r="B2236" t="s">
        <v>297</v>
      </c>
      <c r="C2236">
        <v>0</v>
      </c>
      <c r="D2236">
        <v>1</v>
      </c>
      <c r="E2236">
        <v>69</v>
      </c>
      <c r="F2236">
        <v>147</v>
      </c>
      <c r="G2236">
        <v>217</v>
      </c>
      <c r="H2236">
        <v>69</v>
      </c>
      <c r="I2236">
        <v>1</v>
      </c>
      <c r="J2236">
        <v>0.42522402580291102</v>
      </c>
      <c r="L2236">
        <v>-4.6458674199856401E-2</v>
      </c>
      <c r="M2236">
        <v>1</v>
      </c>
      <c r="O2236">
        <v>-4.6458674199856401E-2</v>
      </c>
    </row>
    <row r="2237" spans="1:15" hidden="1" x14ac:dyDescent="0.3">
      <c r="A2237" t="s">
        <v>79</v>
      </c>
      <c r="B2237" t="s">
        <v>264</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79</v>
      </c>
      <c r="B2238" t="s">
        <v>359</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79</v>
      </c>
      <c r="B2239" t="s">
        <v>313</v>
      </c>
      <c r="C2239">
        <v>0</v>
      </c>
      <c r="D2239">
        <v>1</v>
      </c>
      <c r="E2239">
        <v>69</v>
      </c>
      <c r="F2239">
        <v>147</v>
      </c>
      <c r="G2239">
        <v>217</v>
      </c>
      <c r="H2239">
        <v>69</v>
      </c>
      <c r="I2239">
        <v>1</v>
      </c>
      <c r="J2239">
        <v>0.42522402580291102</v>
      </c>
      <c r="L2239">
        <v>-4.6458674199856401E-2</v>
      </c>
      <c r="M2239">
        <v>1</v>
      </c>
      <c r="O2239">
        <v>-4.6458674199856401E-2</v>
      </c>
    </row>
    <row r="2240" spans="1:15" hidden="1" x14ac:dyDescent="0.3">
      <c r="A2240" t="s">
        <v>79</v>
      </c>
      <c r="B2240" t="s">
        <v>285</v>
      </c>
      <c r="C2240">
        <v>0</v>
      </c>
      <c r="D2240">
        <v>1</v>
      </c>
      <c r="E2240">
        <v>69</v>
      </c>
      <c r="F2240">
        <v>147</v>
      </c>
      <c r="G2240">
        <v>217</v>
      </c>
      <c r="H2240">
        <v>69</v>
      </c>
      <c r="I2240">
        <v>1</v>
      </c>
      <c r="J2240">
        <v>0.42522402580291102</v>
      </c>
      <c r="L2240">
        <v>-4.6458674199856401E-2</v>
      </c>
      <c r="M2240">
        <v>1</v>
      </c>
      <c r="O2240">
        <v>-4.6458674199856401E-2</v>
      </c>
    </row>
    <row r="2241" spans="1:15" x14ac:dyDescent="0.3">
      <c r="A2241" t="s">
        <v>79</v>
      </c>
      <c r="B2241" t="s">
        <v>152</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79</v>
      </c>
      <c r="B2242" t="s">
        <v>311</v>
      </c>
      <c r="C2242">
        <v>0</v>
      </c>
      <c r="D2242">
        <v>1</v>
      </c>
      <c r="E2242">
        <v>69</v>
      </c>
      <c r="F2242">
        <v>147</v>
      </c>
      <c r="G2242">
        <v>217</v>
      </c>
      <c r="H2242">
        <v>69</v>
      </c>
      <c r="I2242">
        <v>1</v>
      </c>
      <c r="J2242">
        <v>0.42522402580291102</v>
      </c>
      <c r="L2242">
        <v>-4.6458674199856401E-2</v>
      </c>
      <c r="M2242">
        <v>1</v>
      </c>
      <c r="O2242">
        <v>-4.6458674199856401E-2</v>
      </c>
    </row>
    <row r="2243" spans="1:15" hidden="1" x14ac:dyDescent="0.3">
      <c r="A2243" t="s">
        <v>79</v>
      </c>
      <c r="B2243" t="s">
        <v>213</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79</v>
      </c>
      <c r="B2244" t="s">
        <v>330</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79</v>
      </c>
      <c r="B2245" t="s">
        <v>252</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79</v>
      </c>
      <c r="B2246" t="s">
        <v>281</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79</v>
      </c>
      <c r="B2247" t="s">
        <v>278</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79</v>
      </c>
      <c r="B2248" t="s">
        <v>292</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79</v>
      </c>
      <c r="B2249" t="s">
        <v>172</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79</v>
      </c>
      <c r="B2250" t="s">
        <v>243</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79</v>
      </c>
      <c r="B2251" t="s">
        <v>327</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79</v>
      </c>
      <c r="B2252" t="s">
        <v>174</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79</v>
      </c>
      <c r="B2253" t="s">
        <v>260</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79</v>
      </c>
      <c r="B2254" t="s">
        <v>280</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79</v>
      </c>
      <c r="B2255" t="s">
        <v>318</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79</v>
      </c>
      <c r="B2256" t="s">
        <v>244</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79</v>
      </c>
      <c r="B2257" t="s">
        <v>336</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79</v>
      </c>
      <c r="B2258" t="s">
        <v>304</v>
      </c>
      <c r="C2258">
        <v>0</v>
      </c>
      <c r="D2258">
        <v>1</v>
      </c>
      <c r="E2258">
        <v>69</v>
      </c>
      <c r="F2258">
        <v>147</v>
      </c>
      <c r="G2258">
        <v>217</v>
      </c>
      <c r="H2258">
        <v>69</v>
      </c>
      <c r="I2258">
        <v>1</v>
      </c>
      <c r="J2258">
        <v>0.42522402580291102</v>
      </c>
      <c r="L2258">
        <v>-4.6458674199856401E-2</v>
      </c>
      <c r="M2258">
        <v>1</v>
      </c>
      <c r="O2258">
        <v>-4.6458674199856401E-2</v>
      </c>
    </row>
    <row r="2259" spans="1:15" x14ac:dyDescent="0.3">
      <c r="A2259" t="s">
        <v>79</v>
      </c>
      <c r="B2259" t="s">
        <v>257</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79</v>
      </c>
      <c r="B2260" t="s">
        <v>307</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79</v>
      </c>
      <c r="B2261" t="s">
        <v>286</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79</v>
      </c>
      <c r="B2262" t="s">
        <v>289</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79</v>
      </c>
      <c r="B2263" t="s">
        <v>282</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81</v>
      </c>
      <c r="B2264" t="s">
        <v>314</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81</v>
      </c>
      <c r="B2265" t="s">
        <v>357</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81</v>
      </c>
      <c r="B2266" t="s">
        <v>356</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81</v>
      </c>
      <c r="B2267" t="s">
        <v>273</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81</v>
      </c>
      <c r="B2268" t="s">
        <v>242</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81</v>
      </c>
      <c r="B2269" t="s">
        <v>332</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81</v>
      </c>
      <c r="B2270" t="s">
        <v>355</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81</v>
      </c>
      <c r="B2271" t="s">
        <v>335</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81</v>
      </c>
      <c r="B2272" t="s">
        <v>266</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81</v>
      </c>
      <c r="B2273" t="s">
        <v>272</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81</v>
      </c>
      <c r="B2274" t="s">
        <v>310</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81</v>
      </c>
      <c r="B2275" t="s">
        <v>317</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81</v>
      </c>
      <c r="B2276" t="s">
        <v>9</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81</v>
      </c>
      <c r="B2277" t="s">
        <v>362</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81</v>
      </c>
      <c r="B2278" t="s">
        <v>354</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81</v>
      </c>
      <c r="B2279" t="s">
        <v>353</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81</v>
      </c>
      <c r="B2280" t="s">
        <v>363</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81</v>
      </c>
      <c r="B2281" t="s">
        <v>305</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81</v>
      </c>
      <c r="B2282" t="s">
        <v>339</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81</v>
      </c>
      <c r="B2283" t="s">
        <v>248</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81</v>
      </c>
      <c r="B2284" t="s">
        <v>342</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81</v>
      </c>
      <c r="B2285" t="s">
        <v>315</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81</v>
      </c>
      <c r="B2286" t="s">
        <v>247</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81</v>
      </c>
      <c r="B2287" t="s">
        <v>241</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81</v>
      </c>
      <c r="B2288" t="s">
        <v>334</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81</v>
      </c>
      <c r="B2289" t="s">
        <v>300</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81</v>
      </c>
      <c r="B2290" t="s">
        <v>265</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81</v>
      </c>
      <c r="B2291" t="s">
        <v>271</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81</v>
      </c>
      <c r="B2292" t="s">
        <v>296</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81</v>
      </c>
      <c r="B2293" t="s">
        <v>249</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81</v>
      </c>
      <c r="B2294" t="s">
        <v>308</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81</v>
      </c>
      <c r="B2295" t="s">
        <v>319</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81</v>
      </c>
      <c r="B2296" t="s">
        <v>245</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81</v>
      </c>
      <c r="B2297" t="s">
        <v>343</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81</v>
      </c>
      <c r="B2298" t="s">
        <v>258</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81</v>
      </c>
      <c r="B2299" t="s">
        <v>344</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81</v>
      </c>
      <c r="B2300" t="s">
        <v>276</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81</v>
      </c>
      <c r="B2301" t="s">
        <v>333</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81</v>
      </c>
      <c r="B2302" t="s">
        <v>263</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81</v>
      </c>
      <c r="B2303" t="s">
        <v>254</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81</v>
      </c>
      <c r="B2304" t="s">
        <v>320</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81</v>
      </c>
      <c r="B2305" t="s">
        <v>275</v>
      </c>
      <c r="C2305">
        <v>0</v>
      </c>
      <c r="D2305">
        <v>11</v>
      </c>
      <c r="E2305">
        <v>6</v>
      </c>
      <c r="F2305">
        <v>200</v>
      </c>
      <c r="G2305">
        <v>217</v>
      </c>
      <c r="H2305">
        <v>6</v>
      </c>
      <c r="I2305">
        <v>11</v>
      </c>
      <c r="J2305">
        <v>0.418184888938118</v>
      </c>
      <c r="L2305">
        <v>-3.89670142139667E-2</v>
      </c>
      <c r="M2305">
        <v>1</v>
      </c>
      <c r="O2305">
        <v>-3.89670142139667E-2</v>
      </c>
    </row>
    <row r="2306" spans="1:15" hidden="1" x14ac:dyDescent="0.3">
      <c r="A2306" t="s">
        <v>81</v>
      </c>
      <c r="B2306" t="s">
        <v>221</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81</v>
      </c>
      <c r="B2307" t="s">
        <v>322</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81</v>
      </c>
      <c r="B2308" t="s">
        <v>303</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81</v>
      </c>
      <c r="B2309" t="s">
        <v>302</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81</v>
      </c>
      <c r="B2310" t="s">
        <v>147</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81</v>
      </c>
      <c r="B2311" t="s">
        <v>299</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81</v>
      </c>
      <c r="B2312" t="s">
        <v>301</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81</v>
      </c>
      <c r="B2313" t="s">
        <v>268</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81</v>
      </c>
      <c r="B2314" t="s">
        <v>290</v>
      </c>
      <c r="C2314">
        <v>0</v>
      </c>
      <c r="D2314">
        <v>1</v>
      </c>
      <c r="E2314">
        <v>6</v>
      </c>
      <c r="F2314">
        <v>210</v>
      </c>
      <c r="G2314">
        <v>217</v>
      </c>
      <c r="H2314">
        <v>6</v>
      </c>
      <c r="I2314">
        <v>1</v>
      </c>
      <c r="J2314">
        <v>0.15066306992548201</v>
      </c>
      <c r="L2314">
        <v>-1.1473806513691899E-2</v>
      </c>
      <c r="M2314">
        <v>1</v>
      </c>
      <c r="O2314">
        <v>-1.1473806513691899E-2</v>
      </c>
    </row>
    <row r="2315" spans="1:15" hidden="1" x14ac:dyDescent="0.3">
      <c r="A2315" t="s">
        <v>81</v>
      </c>
      <c r="B2315" t="s">
        <v>351</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81</v>
      </c>
      <c r="B2316" t="s">
        <v>337</v>
      </c>
      <c r="C2316">
        <v>0</v>
      </c>
      <c r="D2316">
        <v>3</v>
      </c>
      <c r="E2316">
        <v>6</v>
      </c>
      <c r="F2316">
        <v>208</v>
      </c>
      <c r="G2316">
        <v>217</v>
      </c>
      <c r="H2316">
        <v>6</v>
      </c>
      <c r="I2316">
        <v>3</v>
      </c>
      <c r="J2316">
        <v>0.246361683556235</v>
      </c>
      <c r="L2316">
        <v>-1.9965865365064301E-2</v>
      </c>
      <c r="M2316">
        <v>1</v>
      </c>
      <c r="O2316">
        <v>-1.9965865365064301E-2</v>
      </c>
    </row>
    <row r="2317" spans="1:15" hidden="1" x14ac:dyDescent="0.3">
      <c r="A2317" t="s">
        <v>81</v>
      </c>
      <c r="B2317" t="s">
        <v>212</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81</v>
      </c>
      <c r="B2318" t="s">
        <v>250</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81</v>
      </c>
      <c r="B2319" t="s">
        <v>246</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81</v>
      </c>
      <c r="B2320" t="s">
        <v>347</v>
      </c>
      <c r="C2320">
        <v>0</v>
      </c>
      <c r="D2320">
        <v>1</v>
      </c>
      <c r="E2320">
        <v>6</v>
      </c>
      <c r="F2320">
        <v>210</v>
      </c>
      <c r="G2320">
        <v>217</v>
      </c>
      <c r="H2320">
        <v>6</v>
      </c>
      <c r="I2320">
        <v>1</v>
      </c>
      <c r="J2320">
        <v>0.15066306992548201</v>
      </c>
      <c r="L2320">
        <v>-1.1473806513691899E-2</v>
      </c>
      <c r="M2320">
        <v>1</v>
      </c>
      <c r="O2320">
        <v>-1.1473806513691899E-2</v>
      </c>
    </row>
    <row r="2321" spans="1:15" hidden="1" x14ac:dyDescent="0.3">
      <c r="A2321" t="s">
        <v>81</v>
      </c>
      <c r="B2321" t="s">
        <v>153</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81</v>
      </c>
      <c r="B2322" t="s">
        <v>5</v>
      </c>
      <c r="C2322">
        <v>0</v>
      </c>
      <c r="D2322">
        <v>3</v>
      </c>
      <c r="E2322">
        <v>6</v>
      </c>
      <c r="F2322">
        <v>208</v>
      </c>
      <c r="G2322">
        <v>217</v>
      </c>
      <c r="H2322">
        <v>6</v>
      </c>
      <c r="I2322">
        <v>3</v>
      </c>
      <c r="J2322">
        <v>0.246361683556235</v>
      </c>
      <c r="L2322">
        <v>-1.9965865365064301E-2</v>
      </c>
      <c r="M2322">
        <v>1</v>
      </c>
      <c r="O2322">
        <v>-1.9965865365064301E-2</v>
      </c>
    </row>
    <row r="2323" spans="1:15" hidden="1" x14ac:dyDescent="0.3">
      <c r="A2323" t="s">
        <v>81</v>
      </c>
      <c r="B2323" t="s">
        <v>219</v>
      </c>
      <c r="C2323">
        <v>0</v>
      </c>
      <c r="D2323">
        <v>4</v>
      </c>
      <c r="E2323">
        <v>6</v>
      </c>
      <c r="F2323">
        <v>207</v>
      </c>
      <c r="G2323">
        <v>217</v>
      </c>
      <c r="H2323">
        <v>6</v>
      </c>
      <c r="I2323">
        <v>4</v>
      </c>
      <c r="J2323">
        <v>0.27862677921159301</v>
      </c>
      <c r="L2323">
        <v>-2.3108650883983999E-2</v>
      </c>
      <c r="M2323">
        <v>1</v>
      </c>
      <c r="O2323">
        <v>-2.3108650883983999E-2</v>
      </c>
    </row>
    <row r="2324" spans="1:15" hidden="1" x14ac:dyDescent="0.3">
      <c r="A2324" t="s">
        <v>81</v>
      </c>
      <c r="B2324" t="s">
        <v>220</v>
      </c>
      <c r="C2324">
        <v>0</v>
      </c>
      <c r="D2324">
        <v>5</v>
      </c>
      <c r="E2324">
        <v>6</v>
      </c>
      <c r="F2324">
        <v>206</v>
      </c>
      <c r="G2324">
        <v>217</v>
      </c>
      <c r="H2324">
        <v>6</v>
      </c>
      <c r="I2324">
        <v>5</v>
      </c>
      <c r="J2324">
        <v>0.30590634059779898</v>
      </c>
      <c r="L2324">
        <v>-2.5897120003307399E-2</v>
      </c>
      <c r="M2324">
        <v>1</v>
      </c>
      <c r="O2324">
        <v>-2.5897120003307399E-2</v>
      </c>
    </row>
    <row r="2325" spans="1:15" hidden="1" x14ac:dyDescent="0.3">
      <c r="A2325" t="s">
        <v>81</v>
      </c>
      <c r="B2325" t="s">
        <v>279</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81</v>
      </c>
      <c r="B2326" t="s">
        <v>262</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81</v>
      </c>
      <c r="B2327" t="s">
        <v>321</v>
      </c>
      <c r="C2327">
        <v>0</v>
      </c>
      <c r="D2327">
        <v>1</v>
      </c>
      <c r="E2327">
        <v>6</v>
      </c>
      <c r="F2327">
        <v>210</v>
      </c>
      <c r="G2327">
        <v>217</v>
      </c>
      <c r="H2327">
        <v>6</v>
      </c>
      <c r="I2327">
        <v>1</v>
      </c>
      <c r="J2327">
        <v>0.15066306992548201</v>
      </c>
      <c r="L2327">
        <v>-1.1473806513691899E-2</v>
      </c>
      <c r="M2327">
        <v>1</v>
      </c>
      <c r="O2327">
        <v>-1.1473806513691899E-2</v>
      </c>
    </row>
    <row r="2328" spans="1:15" hidden="1" x14ac:dyDescent="0.3">
      <c r="A2328" t="s">
        <v>81</v>
      </c>
      <c r="B2328" t="s">
        <v>215</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81</v>
      </c>
      <c r="B2329" t="s">
        <v>253</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81</v>
      </c>
      <c r="B2330" t="s">
        <v>341</v>
      </c>
      <c r="C2330">
        <v>0</v>
      </c>
      <c r="D2330">
        <v>1</v>
      </c>
      <c r="E2330">
        <v>6</v>
      </c>
      <c r="F2330">
        <v>210</v>
      </c>
      <c r="G2330">
        <v>217</v>
      </c>
      <c r="H2330">
        <v>6</v>
      </c>
      <c r="I2330">
        <v>1</v>
      </c>
      <c r="J2330">
        <v>0.15066306992548201</v>
      </c>
      <c r="L2330">
        <v>-1.1473806513691899E-2</v>
      </c>
      <c r="M2330">
        <v>1</v>
      </c>
      <c r="O2330">
        <v>-1.1473806513691899E-2</v>
      </c>
    </row>
    <row r="2331" spans="1:15" hidden="1" x14ac:dyDescent="0.3">
      <c r="A2331" t="s">
        <v>81</v>
      </c>
      <c r="B2331" t="s">
        <v>214</v>
      </c>
      <c r="C2331">
        <v>0</v>
      </c>
      <c r="D2331">
        <v>3</v>
      </c>
      <c r="E2331">
        <v>6</v>
      </c>
      <c r="F2331">
        <v>208</v>
      </c>
      <c r="G2331">
        <v>217</v>
      </c>
      <c r="H2331">
        <v>6</v>
      </c>
      <c r="I2331">
        <v>3</v>
      </c>
      <c r="J2331">
        <v>0.246361683556235</v>
      </c>
      <c r="L2331">
        <v>-1.9965865365064301E-2</v>
      </c>
      <c r="M2331">
        <v>1</v>
      </c>
      <c r="O2331">
        <v>-1.9965865365064301E-2</v>
      </c>
    </row>
    <row r="2332" spans="1:15" hidden="1" x14ac:dyDescent="0.3">
      <c r="A2332" t="s">
        <v>81</v>
      </c>
      <c r="B2332" t="s">
        <v>352</v>
      </c>
      <c r="C2332">
        <v>0</v>
      </c>
      <c r="D2332">
        <v>1</v>
      </c>
      <c r="E2332">
        <v>6</v>
      </c>
      <c r="F2332">
        <v>210</v>
      </c>
      <c r="G2332">
        <v>217</v>
      </c>
      <c r="H2332">
        <v>6</v>
      </c>
      <c r="I2332">
        <v>1</v>
      </c>
      <c r="J2332">
        <v>0.15066306992548201</v>
      </c>
      <c r="L2332">
        <v>-1.1473806513691899E-2</v>
      </c>
      <c r="M2332">
        <v>1</v>
      </c>
      <c r="O2332">
        <v>-1.1473806513691899E-2</v>
      </c>
    </row>
    <row r="2333" spans="1:15" x14ac:dyDescent="0.3">
      <c r="A2333" t="s">
        <v>81</v>
      </c>
      <c r="B2333" t="s">
        <v>169</v>
      </c>
      <c r="C2333">
        <v>0</v>
      </c>
      <c r="D2333">
        <v>2</v>
      </c>
      <c r="E2333">
        <v>6</v>
      </c>
      <c r="F2333">
        <v>209</v>
      </c>
      <c r="G2333">
        <v>217</v>
      </c>
      <c r="H2333">
        <v>6</v>
      </c>
      <c r="I2333">
        <v>2</v>
      </c>
      <c r="J2333">
        <v>0.206212993639731</v>
      </c>
      <c r="L2333">
        <v>-1.62641048502511E-2</v>
      </c>
      <c r="M2333">
        <v>1</v>
      </c>
      <c r="O2333">
        <v>-1.62641048502511E-2</v>
      </c>
    </row>
    <row r="2334" spans="1:15" x14ac:dyDescent="0.3">
      <c r="A2334" t="s">
        <v>81</v>
      </c>
      <c r="B2334" t="s">
        <v>175</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81</v>
      </c>
      <c r="B2335" t="s">
        <v>340</v>
      </c>
      <c r="C2335">
        <v>0</v>
      </c>
      <c r="D2335">
        <v>1</v>
      </c>
      <c r="E2335">
        <v>6</v>
      </c>
      <c r="F2335">
        <v>210</v>
      </c>
      <c r="G2335">
        <v>217</v>
      </c>
      <c r="H2335">
        <v>6</v>
      </c>
      <c r="I2335">
        <v>1</v>
      </c>
      <c r="J2335">
        <v>0.15066306992548201</v>
      </c>
      <c r="L2335">
        <v>-1.1473806513691899E-2</v>
      </c>
      <c r="M2335">
        <v>1</v>
      </c>
      <c r="O2335">
        <v>-1.1473806513691899E-2</v>
      </c>
    </row>
    <row r="2336" spans="1:15" hidden="1" x14ac:dyDescent="0.3">
      <c r="A2336" t="s">
        <v>81</v>
      </c>
      <c r="B2336" t="s">
        <v>190</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81</v>
      </c>
      <c r="B2337" t="s">
        <v>346</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81</v>
      </c>
      <c r="B2338" t="s">
        <v>309</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81</v>
      </c>
      <c r="B2339" t="s">
        <v>148</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81</v>
      </c>
      <c r="B2340" t="s">
        <v>173</v>
      </c>
      <c r="C2340">
        <v>0</v>
      </c>
      <c r="D2340">
        <v>2</v>
      </c>
      <c r="E2340">
        <v>6</v>
      </c>
      <c r="F2340">
        <v>209</v>
      </c>
      <c r="G2340">
        <v>217</v>
      </c>
      <c r="H2340">
        <v>6</v>
      </c>
      <c r="I2340">
        <v>2</v>
      </c>
      <c r="J2340">
        <v>0.206212993639731</v>
      </c>
      <c r="L2340">
        <v>-1.62641048502511E-2</v>
      </c>
      <c r="M2340">
        <v>1</v>
      </c>
      <c r="O2340">
        <v>-1.62641048502511E-2</v>
      </c>
    </row>
    <row r="2341" spans="1:15" hidden="1" x14ac:dyDescent="0.3">
      <c r="A2341" t="s">
        <v>81</v>
      </c>
      <c r="B2341" t="s">
        <v>217</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81</v>
      </c>
      <c r="B2342" t="s">
        <v>348</v>
      </c>
      <c r="C2342">
        <v>0</v>
      </c>
      <c r="D2342">
        <v>1</v>
      </c>
      <c r="E2342">
        <v>6</v>
      </c>
      <c r="F2342">
        <v>210</v>
      </c>
      <c r="G2342">
        <v>217</v>
      </c>
      <c r="H2342">
        <v>6</v>
      </c>
      <c r="I2342">
        <v>1</v>
      </c>
      <c r="J2342">
        <v>0.15066306992548201</v>
      </c>
      <c r="L2342">
        <v>-1.1473806513691899E-2</v>
      </c>
      <c r="M2342">
        <v>1</v>
      </c>
      <c r="O2342">
        <v>-1.1473806513691899E-2</v>
      </c>
    </row>
    <row r="2343" spans="1:15" hidden="1" x14ac:dyDescent="0.3">
      <c r="A2343" t="s">
        <v>81</v>
      </c>
      <c r="B2343" t="s">
        <v>222</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81</v>
      </c>
      <c r="B2344" t="s">
        <v>269</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81</v>
      </c>
      <c r="B2345" t="s">
        <v>349</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81</v>
      </c>
      <c r="B2346" t="s">
        <v>274</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81</v>
      </c>
      <c r="B2347" t="s">
        <v>316</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81</v>
      </c>
      <c r="B2348" t="s">
        <v>350</v>
      </c>
      <c r="C2348">
        <v>0</v>
      </c>
      <c r="D2348">
        <v>1</v>
      </c>
      <c r="E2348">
        <v>6</v>
      </c>
      <c r="F2348">
        <v>210</v>
      </c>
      <c r="G2348">
        <v>217</v>
      </c>
      <c r="H2348">
        <v>6</v>
      </c>
      <c r="I2348">
        <v>1</v>
      </c>
      <c r="J2348">
        <v>0.15066306992548201</v>
      </c>
      <c r="L2348">
        <v>-1.1473806513691899E-2</v>
      </c>
      <c r="M2348">
        <v>1</v>
      </c>
      <c r="O2348">
        <v>-1.1473806513691899E-2</v>
      </c>
    </row>
    <row r="2349" spans="1:15" hidden="1" x14ac:dyDescent="0.3">
      <c r="A2349" t="s">
        <v>81</v>
      </c>
      <c r="B2349" t="s">
        <v>218</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81</v>
      </c>
      <c r="B2350" t="s">
        <v>261</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81</v>
      </c>
      <c r="B2351" t="s">
        <v>277</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81</v>
      </c>
      <c r="B2352" t="s">
        <v>251</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81</v>
      </c>
      <c r="B2353" t="s">
        <v>259</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81</v>
      </c>
      <c r="B2354" t="s">
        <v>329</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81</v>
      </c>
      <c r="B2355" t="s">
        <v>360</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81</v>
      </c>
      <c r="B2356" t="s">
        <v>358</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81</v>
      </c>
      <c r="B2357" t="s">
        <v>312</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81</v>
      </c>
      <c r="B2358" t="s">
        <v>361</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81</v>
      </c>
      <c r="B2359" t="s">
        <v>288</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81</v>
      </c>
      <c r="B2360" t="s">
        <v>306</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81</v>
      </c>
      <c r="B2361" t="s">
        <v>345</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81</v>
      </c>
      <c r="B2362" t="s">
        <v>338</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81</v>
      </c>
      <c r="B2363" t="s">
        <v>267</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81</v>
      </c>
      <c r="B2364" t="s">
        <v>194</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81</v>
      </c>
      <c r="B2365" t="s">
        <v>328</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81</v>
      </c>
      <c r="B2366" t="s">
        <v>293</v>
      </c>
      <c r="C2366">
        <v>0</v>
      </c>
      <c r="D2366">
        <v>2</v>
      </c>
      <c r="E2366">
        <v>6</v>
      </c>
      <c r="F2366">
        <v>209</v>
      </c>
      <c r="G2366">
        <v>217</v>
      </c>
      <c r="H2366">
        <v>6</v>
      </c>
      <c r="I2366">
        <v>2</v>
      </c>
      <c r="J2366">
        <v>0.206212993639731</v>
      </c>
      <c r="L2366">
        <v>-1.62641048502511E-2</v>
      </c>
      <c r="M2366">
        <v>1</v>
      </c>
      <c r="O2366">
        <v>-1.62641048502511E-2</v>
      </c>
    </row>
    <row r="2367" spans="1:15" hidden="1" x14ac:dyDescent="0.3">
      <c r="A2367" t="s">
        <v>81</v>
      </c>
      <c r="B2367" t="s">
        <v>216</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81</v>
      </c>
      <c r="B2368" t="s">
        <v>297</v>
      </c>
      <c r="C2368">
        <v>0</v>
      </c>
      <c r="D2368">
        <v>1</v>
      </c>
      <c r="E2368">
        <v>6</v>
      </c>
      <c r="F2368">
        <v>210</v>
      </c>
      <c r="G2368">
        <v>217</v>
      </c>
      <c r="H2368">
        <v>6</v>
      </c>
      <c r="I2368">
        <v>1</v>
      </c>
      <c r="J2368">
        <v>0.15066306992548201</v>
      </c>
      <c r="L2368">
        <v>-1.1473806513691899E-2</v>
      </c>
      <c r="M2368">
        <v>1</v>
      </c>
      <c r="O2368">
        <v>-1.1473806513691899E-2</v>
      </c>
    </row>
    <row r="2369" spans="1:15" hidden="1" x14ac:dyDescent="0.3">
      <c r="A2369" t="s">
        <v>81</v>
      </c>
      <c r="B2369" t="s">
        <v>264</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81</v>
      </c>
      <c r="B2370" t="s">
        <v>359</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81</v>
      </c>
      <c r="B2371" t="s">
        <v>313</v>
      </c>
      <c r="C2371">
        <v>0</v>
      </c>
      <c r="D2371">
        <v>1</v>
      </c>
      <c r="E2371">
        <v>6</v>
      </c>
      <c r="F2371">
        <v>210</v>
      </c>
      <c r="G2371">
        <v>217</v>
      </c>
      <c r="H2371">
        <v>6</v>
      </c>
      <c r="I2371">
        <v>1</v>
      </c>
      <c r="J2371">
        <v>0.15066306992548201</v>
      </c>
      <c r="L2371">
        <v>-1.1473806513691899E-2</v>
      </c>
      <c r="M2371">
        <v>1</v>
      </c>
      <c r="O2371">
        <v>-1.1473806513691899E-2</v>
      </c>
    </row>
    <row r="2372" spans="1:15" hidden="1" x14ac:dyDescent="0.3">
      <c r="A2372" t="s">
        <v>81</v>
      </c>
      <c r="B2372" t="s">
        <v>331</v>
      </c>
      <c r="C2372">
        <v>0</v>
      </c>
      <c r="D2372">
        <v>2</v>
      </c>
      <c r="E2372">
        <v>6</v>
      </c>
      <c r="F2372">
        <v>209</v>
      </c>
      <c r="G2372">
        <v>217</v>
      </c>
      <c r="H2372">
        <v>6</v>
      </c>
      <c r="I2372">
        <v>2</v>
      </c>
      <c r="J2372">
        <v>0.206212993639731</v>
      </c>
      <c r="L2372">
        <v>-1.62641048502511E-2</v>
      </c>
      <c r="M2372">
        <v>1</v>
      </c>
      <c r="O2372">
        <v>-1.62641048502511E-2</v>
      </c>
    </row>
    <row r="2373" spans="1:15" hidden="1" x14ac:dyDescent="0.3">
      <c r="A2373" t="s">
        <v>81</v>
      </c>
      <c r="B2373" t="s">
        <v>285</v>
      </c>
      <c r="C2373">
        <v>0</v>
      </c>
      <c r="D2373">
        <v>1</v>
      </c>
      <c r="E2373">
        <v>6</v>
      </c>
      <c r="F2373">
        <v>210</v>
      </c>
      <c r="G2373">
        <v>217</v>
      </c>
      <c r="H2373">
        <v>6</v>
      </c>
      <c r="I2373">
        <v>1</v>
      </c>
      <c r="J2373">
        <v>0.15066306992548201</v>
      </c>
      <c r="L2373">
        <v>-1.1473806513691899E-2</v>
      </c>
      <c r="M2373">
        <v>1</v>
      </c>
      <c r="O2373">
        <v>-1.1473806513691899E-2</v>
      </c>
    </row>
    <row r="2374" spans="1:15" x14ac:dyDescent="0.3">
      <c r="A2374" t="s">
        <v>81</v>
      </c>
      <c r="B2374" t="s">
        <v>152</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81</v>
      </c>
      <c r="B2375" t="s">
        <v>311</v>
      </c>
      <c r="C2375">
        <v>0</v>
      </c>
      <c r="D2375">
        <v>1</v>
      </c>
      <c r="E2375">
        <v>6</v>
      </c>
      <c r="F2375">
        <v>210</v>
      </c>
      <c r="G2375">
        <v>217</v>
      </c>
      <c r="H2375">
        <v>6</v>
      </c>
      <c r="I2375">
        <v>1</v>
      </c>
      <c r="J2375">
        <v>0.15066306992548201</v>
      </c>
      <c r="L2375">
        <v>-1.1473806513691899E-2</v>
      </c>
      <c r="M2375">
        <v>1</v>
      </c>
      <c r="O2375">
        <v>-1.1473806513691899E-2</v>
      </c>
    </row>
    <row r="2376" spans="1:15" hidden="1" x14ac:dyDescent="0.3">
      <c r="A2376" t="s">
        <v>81</v>
      </c>
      <c r="B2376" t="s">
        <v>213</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81</v>
      </c>
      <c r="B2377" t="s">
        <v>330</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81</v>
      </c>
      <c r="B2378" t="s">
        <v>252</v>
      </c>
      <c r="C2378">
        <v>0</v>
      </c>
      <c r="D2378">
        <v>3</v>
      </c>
      <c r="E2378">
        <v>6</v>
      </c>
      <c r="F2378">
        <v>208</v>
      </c>
      <c r="G2378">
        <v>217</v>
      </c>
      <c r="H2378">
        <v>6</v>
      </c>
      <c r="I2378">
        <v>3</v>
      </c>
      <c r="J2378">
        <v>0.246361683556235</v>
      </c>
      <c r="L2378">
        <v>-1.9965865365064301E-2</v>
      </c>
      <c r="M2378">
        <v>1</v>
      </c>
      <c r="O2378">
        <v>-1.9965865365064301E-2</v>
      </c>
    </row>
    <row r="2379" spans="1:15" x14ac:dyDescent="0.3">
      <c r="A2379" t="s">
        <v>81</v>
      </c>
      <c r="B2379" t="s">
        <v>170</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81</v>
      </c>
      <c r="B2380" t="s">
        <v>281</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81</v>
      </c>
      <c r="B2381" t="s">
        <v>324</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81</v>
      </c>
      <c r="B2382" t="s">
        <v>278</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81</v>
      </c>
      <c r="B2383" t="s">
        <v>292</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81</v>
      </c>
      <c r="B2384" t="s">
        <v>172</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81</v>
      </c>
      <c r="B2385" t="s">
        <v>323</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81</v>
      </c>
      <c r="B2386" t="s">
        <v>326</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81</v>
      </c>
      <c r="B2387" t="s">
        <v>325</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81</v>
      </c>
      <c r="B2388" t="s">
        <v>256</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81</v>
      </c>
      <c r="B2389" t="s">
        <v>243</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81</v>
      </c>
      <c r="B2390" t="s">
        <v>327</v>
      </c>
      <c r="C2390">
        <v>0</v>
      </c>
      <c r="D2390">
        <v>1</v>
      </c>
      <c r="E2390">
        <v>6</v>
      </c>
      <c r="F2390">
        <v>210</v>
      </c>
      <c r="G2390">
        <v>217</v>
      </c>
      <c r="H2390">
        <v>6</v>
      </c>
      <c r="I2390">
        <v>1</v>
      </c>
      <c r="J2390">
        <v>0.15066306992548201</v>
      </c>
      <c r="L2390">
        <v>-1.1473806513691899E-2</v>
      </c>
      <c r="M2390">
        <v>1</v>
      </c>
      <c r="O2390">
        <v>-1.1473806513691899E-2</v>
      </c>
    </row>
    <row r="2391" spans="1:15" x14ac:dyDescent="0.3">
      <c r="A2391" t="s">
        <v>81</v>
      </c>
      <c r="B2391" t="s">
        <v>174</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81</v>
      </c>
      <c r="B2392" t="s">
        <v>260</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81</v>
      </c>
      <c r="B2393" t="s">
        <v>280</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81</v>
      </c>
      <c r="B2394" t="s">
        <v>318</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81</v>
      </c>
      <c r="B2395" t="s">
        <v>336</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81</v>
      </c>
      <c r="B2396" t="s">
        <v>304</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81</v>
      </c>
      <c r="B2397" t="s">
        <v>270</v>
      </c>
      <c r="C2397">
        <v>0</v>
      </c>
      <c r="D2397">
        <v>3</v>
      </c>
      <c r="E2397">
        <v>6</v>
      </c>
      <c r="F2397">
        <v>208</v>
      </c>
      <c r="G2397">
        <v>217</v>
      </c>
      <c r="H2397">
        <v>6</v>
      </c>
      <c r="I2397">
        <v>3</v>
      </c>
      <c r="J2397">
        <v>0.246361683556235</v>
      </c>
      <c r="L2397">
        <v>-1.9965865365064301E-2</v>
      </c>
      <c r="M2397">
        <v>1</v>
      </c>
      <c r="O2397">
        <v>-1.9965865365064301E-2</v>
      </c>
    </row>
    <row r="2398" spans="1:15" x14ac:dyDescent="0.3">
      <c r="A2398" t="s">
        <v>81</v>
      </c>
      <c r="B2398" t="s">
        <v>257</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81</v>
      </c>
      <c r="B2399" t="s">
        <v>307</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81</v>
      </c>
      <c r="B2400" t="s">
        <v>286</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81</v>
      </c>
      <c r="B2401" t="s">
        <v>198</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81</v>
      </c>
      <c r="B2402" t="s">
        <v>289</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81</v>
      </c>
      <c r="B2403" t="s">
        <v>282</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81</v>
      </c>
      <c r="B2404" t="s">
        <v>291</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83</v>
      </c>
      <c r="B2405" t="s">
        <v>314</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83</v>
      </c>
      <c r="B2406" t="s">
        <v>357</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83</v>
      </c>
      <c r="B2407" t="s">
        <v>356</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83</v>
      </c>
      <c r="B2408" t="s">
        <v>273</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83</v>
      </c>
      <c r="B2409" t="s">
        <v>332</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83</v>
      </c>
      <c r="B2410" t="s">
        <v>355</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83</v>
      </c>
      <c r="B2411" t="s">
        <v>266</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83</v>
      </c>
      <c r="B2412" t="s">
        <v>272</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83</v>
      </c>
      <c r="B2413" t="s">
        <v>310</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83</v>
      </c>
      <c r="B2414" t="s">
        <v>317</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83</v>
      </c>
      <c r="B2415" t="s">
        <v>9</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83</v>
      </c>
      <c r="B2416" t="s">
        <v>362</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83</v>
      </c>
      <c r="B2417" t="s">
        <v>354</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83</v>
      </c>
      <c r="B2418" t="s">
        <v>353</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83</v>
      </c>
      <c r="B2419" t="s">
        <v>363</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83</v>
      </c>
      <c r="B2420" t="s">
        <v>305</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83</v>
      </c>
      <c r="B2421" t="s">
        <v>339</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83</v>
      </c>
      <c r="B2422" t="s">
        <v>342</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83</v>
      </c>
      <c r="B2423" t="s">
        <v>315</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83</v>
      </c>
      <c r="B2424" t="s">
        <v>247</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83</v>
      </c>
      <c r="B2425" t="s">
        <v>241</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83</v>
      </c>
      <c r="B2426" t="s">
        <v>334</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83</v>
      </c>
      <c r="B2427" t="s">
        <v>300</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83</v>
      </c>
      <c r="B2428" t="s">
        <v>265</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83</v>
      </c>
      <c r="B2429" t="s">
        <v>249</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83</v>
      </c>
      <c r="B2430" t="s">
        <v>308</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83</v>
      </c>
      <c r="B2431" t="s">
        <v>319</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83</v>
      </c>
      <c r="B2432" t="s">
        <v>245</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83</v>
      </c>
      <c r="B2433" t="s">
        <v>343</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83</v>
      </c>
      <c r="B2434" t="s">
        <v>258</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83</v>
      </c>
      <c r="B2435" t="s">
        <v>344</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83</v>
      </c>
      <c r="B2436" t="s">
        <v>276</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83</v>
      </c>
      <c r="B2437" t="s">
        <v>333</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83</v>
      </c>
      <c r="B2438" t="s">
        <v>320</v>
      </c>
      <c r="C2438">
        <v>0</v>
      </c>
      <c r="D2438">
        <v>1</v>
      </c>
      <c r="E2438">
        <v>14</v>
      </c>
      <c r="F2438">
        <v>202</v>
      </c>
      <c r="G2438">
        <v>217</v>
      </c>
      <c r="H2438">
        <v>14</v>
      </c>
      <c r="I2438">
        <v>1</v>
      </c>
      <c r="J2438">
        <v>0.22076594753891099</v>
      </c>
      <c r="L2438">
        <v>-1.78685422472965E-2</v>
      </c>
      <c r="M2438">
        <v>1</v>
      </c>
      <c r="O2438">
        <v>-1.78685422472965E-2</v>
      </c>
    </row>
    <row r="2439" spans="1:15" hidden="1" x14ac:dyDescent="0.3">
      <c r="A2439" t="s">
        <v>83</v>
      </c>
      <c r="B2439" t="s">
        <v>221</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83</v>
      </c>
      <c r="B2440" t="s">
        <v>322</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83</v>
      </c>
      <c r="B2441" t="s">
        <v>303</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83</v>
      </c>
      <c r="B2442" t="s">
        <v>302</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83</v>
      </c>
      <c r="B2443" t="s">
        <v>147</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83</v>
      </c>
      <c r="B2444" t="s">
        <v>284</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83</v>
      </c>
      <c r="B2445" t="s">
        <v>299</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83</v>
      </c>
      <c r="B2446" t="s">
        <v>301</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83</v>
      </c>
      <c r="B2447" t="s">
        <v>268</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83</v>
      </c>
      <c r="B2448" t="s">
        <v>290</v>
      </c>
      <c r="C2448">
        <v>0</v>
      </c>
      <c r="D2448">
        <v>1</v>
      </c>
      <c r="E2448">
        <v>14</v>
      </c>
      <c r="F2448">
        <v>202</v>
      </c>
      <c r="G2448">
        <v>217</v>
      </c>
      <c r="H2448">
        <v>14</v>
      </c>
      <c r="I2448">
        <v>1</v>
      </c>
      <c r="J2448">
        <v>0.22076594753891099</v>
      </c>
      <c r="L2448">
        <v>-1.78685422472965E-2</v>
      </c>
      <c r="M2448">
        <v>1</v>
      </c>
      <c r="O2448">
        <v>-1.78685422472965E-2</v>
      </c>
    </row>
    <row r="2449" spans="1:15" hidden="1" x14ac:dyDescent="0.3">
      <c r="A2449" t="s">
        <v>83</v>
      </c>
      <c r="B2449" t="s">
        <v>351</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83</v>
      </c>
      <c r="B2450" t="s">
        <v>337</v>
      </c>
      <c r="C2450">
        <v>0</v>
      </c>
      <c r="D2450">
        <v>3</v>
      </c>
      <c r="E2450">
        <v>14</v>
      </c>
      <c r="F2450">
        <v>200</v>
      </c>
      <c r="G2450">
        <v>217</v>
      </c>
      <c r="H2450">
        <v>14</v>
      </c>
      <c r="I2450">
        <v>3</v>
      </c>
      <c r="J2450">
        <v>0.35082268041346898</v>
      </c>
      <c r="L2450">
        <v>-3.1093509233728001E-2</v>
      </c>
      <c r="M2450">
        <v>1</v>
      </c>
      <c r="O2450">
        <v>-3.1093509233728001E-2</v>
      </c>
    </row>
    <row r="2451" spans="1:15" hidden="1" x14ac:dyDescent="0.3">
      <c r="A2451" t="s">
        <v>83</v>
      </c>
      <c r="B2451" t="s">
        <v>212</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83</v>
      </c>
      <c r="B2452" t="s">
        <v>246</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83</v>
      </c>
      <c r="B2453" t="s">
        <v>347</v>
      </c>
      <c r="C2453">
        <v>0</v>
      </c>
      <c r="D2453">
        <v>1</v>
      </c>
      <c r="E2453">
        <v>14</v>
      </c>
      <c r="F2453">
        <v>202</v>
      </c>
      <c r="G2453">
        <v>217</v>
      </c>
      <c r="H2453">
        <v>14</v>
      </c>
      <c r="I2453">
        <v>1</v>
      </c>
      <c r="J2453">
        <v>0.22076594753891099</v>
      </c>
      <c r="L2453">
        <v>-1.78685422472965E-2</v>
      </c>
      <c r="M2453">
        <v>1</v>
      </c>
      <c r="O2453">
        <v>-1.78685422472965E-2</v>
      </c>
    </row>
    <row r="2454" spans="1:15" hidden="1" x14ac:dyDescent="0.3">
      <c r="A2454" t="s">
        <v>83</v>
      </c>
      <c r="B2454" t="s">
        <v>153</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83</v>
      </c>
      <c r="B2455" t="s">
        <v>5</v>
      </c>
      <c r="C2455">
        <v>0</v>
      </c>
      <c r="D2455">
        <v>3</v>
      </c>
      <c r="E2455">
        <v>14</v>
      </c>
      <c r="F2455">
        <v>200</v>
      </c>
      <c r="G2455">
        <v>217</v>
      </c>
      <c r="H2455">
        <v>14</v>
      </c>
      <c r="I2455">
        <v>3</v>
      </c>
      <c r="J2455">
        <v>0.35082268041346898</v>
      </c>
      <c r="L2455">
        <v>-3.1093509233728001E-2</v>
      </c>
      <c r="M2455">
        <v>1</v>
      </c>
      <c r="O2455">
        <v>-3.1093509233728001E-2</v>
      </c>
    </row>
    <row r="2456" spans="1:15" hidden="1" x14ac:dyDescent="0.3">
      <c r="A2456" t="s">
        <v>83</v>
      </c>
      <c r="B2456" t="s">
        <v>219</v>
      </c>
      <c r="C2456">
        <v>0</v>
      </c>
      <c r="D2456">
        <v>4</v>
      </c>
      <c r="E2456">
        <v>14</v>
      </c>
      <c r="F2456">
        <v>199</v>
      </c>
      <c r="G2456">
        <v>217</v>
      </c>
      <c r="H2456">
        <v>14</v>
      </c>
      <c r="I2456">
        <v>4</v>
      </c>
      <c r="J2456">
        <v>0.392794291485069</v>
      </c>
      <c r="L2456">
        <v>-3.59878741292834E-2</v>
      </c>
      <c r="M2456">
        <v>1</v>
      </c>
      <c r="O2456">
        <v>-3.59878741292834E-2</v>
      </c>
    </row>
    <row r="2457" spans="1:15" hidden="1" x14ac:dyDescent="0.3">
      <c r="A2457" t="s">
        <v>83</v>
      </c>
      <c r="B2457" t="s">
        <v>220</v>
      </c>
      <c r="C2457">
        <v>0</v>
      </c>
      <c r="D2457">
        <v>5</v>
      </c>
      <c r="E2457">
        <v>14</v>
      </c>
      <c r="F2457">
        <v>198</v>
      </c>
      <c r="G2457">
        <v>217</v>
      </c>
      <c r="H2457">
        <v>14</v>
      </c>
      <c r="I2457">
        <v>5</v>
      </c>
      <c r="J2457">
        <v>0.42751763700431</v>
      </c>
      <c r="L2457">
        <v>-4.0330450257306298E-2</v>
      </c>
      <c r="M2457">
        <v>1</v>
      </c>
      <c r="O2457">
        <v>-4.0330450257306298E-2</v>
      </c>
    </row>
    <row r="2458" spans="1:15" hidden="1" x14ac:dyDescent="0.3">
      <c r="A2458" t="s">
        <v>83</v>
      </c>
      <c r="B2458" t="s">
        <v>279</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83</v>
      </c>
      <c r="B2459" t="s">
        <v>262</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83</v>
      </c>
      <c r="B2460" t="s">
        <v>321</v>
      </c>
      <c r="C2460">
        <v>0</v>
      </c>
      <c r="D2460">
        <v>1</v>
      </c>
      <c r="E2460">
        <v>14</v>
      </c>
      <c r="F2460">
        <v>202</v>
      </c>
      <c r="G2460">
        <v>217</v>
      </c>
      <c r="H2460">
        <v>14</v>
      </c>
      <c r="I2460">
        <v>1</v>
      </c>
      <c r="J2460">
        <v>0.22076594753891099</v>
      </c>
      <c r="L2460">
        <v>-1.78685422472965E-2</v>
      </c>
      <c r="M2460">
        <v>1</v>
      </c>
      <c r="O2460">
        <v>-1.78685422472965E-2</v>
      </c>
    </row>
    <row r="2461" spans="1:15" hidden="1" x14ac:dyDescent="0.3">
      <c r="A2461" t="s">
        <v>83</v>
      </c>
      <c r="B2461" t="s">
        <v>215</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83</v>
      </c>
      <c r="B2462" t="s">
        <v>341</v>
      </c>
      <c r="C2462">
        <v>0</v>
      </c>
      <c r="D2462">
        <v>1</v>
      </c>
      <c r="E2462">
        <v>14</v>
      </c>
      <c r="F2462">
        <v>202</v>
      </c>
      <c r="G2462">
        <v>217</v>
      </c>
      <c r="H2462">
        <v>14</v>
      </c>
      <c r="I2462">
        <v>1</v>
      </c>
      <c r="J2462">
        <v>0.22076594753891099</v>
      </c>
      <c r="L2462">
        <v>-1.78685422472965E-2</v>
      </c>
      <c r="M2462">
        <v>1</v>
      </c>
      <c r="O2462">
        <v>-1.78685422472965E-2</v>
      </c>
    </row>
    <row r="2463" spans="1:15" hidden="1" x14ac:dyDescent="0.3">
      <c r="A2463" t="s">
        <v>83</v>
      </c>
      <c r="B2463" t="s">
        <v>214</v>
      </c>
      <c r="C2463">
        <v>0</v>
      </c>
      <c r="D2463">
        <v>3</v>
      </c>
      <c r="E2463">
        <v>14</v>
      </c>
      <c r="F2463">
        <v>200</v>
      </c>
      <c r="G2463">
        <v>217</v>
      </c>
      <c r="H2463">
        <v>14</v>
      </c>
      <c r="I2463">
        <v>3</v>
      </c>
      <c r="J2463">
        <v>0.35082268041346898</v>
      </c>
      <c r="L2463">
        <v>-3.1093509233728001E-2</v>
      </c>
      <c r="M2463">
        <v>1</v>
      </c>
      <c r="O2463">
        <v>-3.1093509233728001E-2</v>
      </c>
    </row>
    <row r="2464" spans="1:15" hidden="1" x14ac:dyDescent="0.3">
      <c r="A2464" t="s">
        <v>83</v>
      </c>
      <c r="B2464" t="s">
        <v>352</v>
      </c>
      <c r="C2464">
        <v>0</v>
      </c>
      <c r="D2464">
        <v>1</v>
      </c>
      <c r="E2464">
        <v>14</v>
      </c>
      <c r="F2464">
        <v>202</v>
      </c>
      <c r="G2464">
        <v>217</v>
      </c>
      <c r="H2464">
        <v>14</v>
      </c>
      <c r="I2464">
        <v>1</v>
      </c>
      <c r="J2464">
        <v>0.22076594753891099</v>
      </c>
      <c r="L2464">
        <v>-1.78685422472965E-2</v>
      </c>
      <c r="M2464">
        <v>1</v>
      </c>
      <c r="O2464">
        <v>-1.78685422472965E-2</v>
      </c>
    </row>
    <row r="2465" spans="1:15" x14ac:dyDescent="0.3">
      <c r="A2465" t="s">
        <v>83</v>
      </c>
      <c r="B2465" t="s">
        <v>169</v>
      </c>
      <c r="C2465">
        <v>0</v>
      </c>
      <c r="D2465">
        <v>2</v>
      </c>
      <c r="E2465">
        <v>14</v>
      </c>
      <c r="F2465">
        <v>201</v>
      </c>
      <c r="G2465">
        <v>217</v>
      </c>
      <c r="H2465">
        <v>14</v>
      </c>
      <c r="I2465">
        <v>2</v>
      </c>
      <c r="J2465">
        <v>0.29725897566229698</v>
      </c>
      <c r="L2465">
        <v>-2.53286339005609E-2</v>
      </c>
      <c r="M2465">
        <v>1</v>
      </c>
      <c r="O2465">
        <v>-2.53286339005609E-2</v>
      </c>
    </row>
    <row r="2466" spans="1:15" x14ac:dyDescent="0.3">
      <c r="A2466" t="s">
        <v>83</v>
      </c>
      <c r="B2466" t="s">
        <v>175</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83</v>
      </c>
      <c r="B2467" t="s">
        <v>340</v>
      </c>
      <c r="C2467">
        <v>0</v>
      </c>
      <c r="D2467">
        <v>1</v>
      </c>
      <c r="E2467">
        <v>14</v>
      </c>
      <c r="F2467">
        <v>202</v>
      </c>
      <c r="G2467">
        <v>217</v>
      </c>
      <c r="H2467">
        <v>14</v>
      </c>
      <c r="I2467">
        <v>1</v>
      </c>
      <c r="J2467">
        <v>0.22076594753891099</v>
      </c>
      <c r="L2467">
        <v>-1.78685422472965E-2</v>
      </c>
      <c r="M2467">
        <v>1</v>
      </c>
      <c r="O2467">
        <v>-1.78685422472965E-2</v>
      </c>
    </row>
    <row r="2468" spans="1:15" hidden="1" x14ac:dyDescent="0.3">
      <c r="A2468" t="s">
        <v>83</v>
      </c>
      <c r="B2468" t="s">
        <v>190</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83</v>
      </c>
      <c r="B2469" t="s">
        <v>346</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83</v>
      </c>
      <c r="B2470" t="s">
        <v>309</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83</v>
      </c>
      <c r="B2471" t="s">
        <v>148</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83</v>
      </c>
      <c r="B2472" t="s">
        <v>173</v>
      </c>
      <c r="C2472">
        <v>0</v>
      </c>
      <c r="D2472">
        <v>2</v>
      </c>
      <c r="E2472">
        <v>14</v>
      </c>
      <c r="F2472">
        <v>201</v>
      </c>
      <c r="G2472">
        <v>217</v>
      </c>
      <c r="H2472">
        <v>14</v>
      </c>
      <c r="I2472">
        <v>2</v>
      </c>
      <c r="J2472">
        <v>0.29725897566229698</v>
      </c>
      <c r="L2472">
        <v>-2.53286339005609E-2</v>
      </c>
      <c r="M2472">
        <v>1</v>
      </c>
      <c r="O2472">
        <v>-2.53286339005609E-2</v>
      </c>
    </row>
    <row r="2473" spans="1:15" hidden="1" x14ac:dyDescent="0.3">
      <c r="A2473" t="s">
        <v>83</v>
      </c>
      <c r="B2473" t="s">
        <v>217</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83</v>
      </c>
      <c r="B2474" t="s">
        <v>348</v>
      </c>
      <c r="C2474">
        <v>0</v>
      </c>
      <c r="D2474">
        <v>1</v>
      </c>
      <c r="E2474">
        <v>14</v>
      </c>
      <c r="F2474">
        <v>202</v>
      </c>
      <c r="G2474">
        <v>217</v>
      </c>
      <c r="H2474">
        <v>14</v>
      </c>
      <c r="I2474">
        <v>1</v>
      </c>
      <c r="J2474">
        <v>0.22076594753891099</v>
      </c>
      <c r="L2474">
        <v>-1.78685422472965E-2</v>
      </c>
      <c r="M2474">
        <v>1</v>
      </c>
      <c r="O2474">
        <v>-1.78685422472965E-2</v>
      </c>
    </row>
    <row r="2475" spans="1:15" hidden="1" x14ac:dyDescent="0.3">
      <c r="A2475" t="s">
        <v>83</v>
      </c>
      <c r="B2475" t="s">
        <v>222</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83</v>
      </c>
      <c r="B2476" t="s">
        <v>269</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83</v>
      </c>
      <c r="B2477" t="s">
        <v>349</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83</v>
      </c>
      <c r="B2478" t="s">
        <v>274</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83</v>
      </c>
      <c r="B2479" t="s">
        <v>316</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83</v>
      </c>
      <c r="B2480" t="s">
        <v>350</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83</v>
      </c>
      <c r="B2481" t="s">
        <v>251</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83</v>
      </c>
      <c r="B2482" t="s">
        <v>259</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83</v>
      </c>
      <c r="B2483" t="s">
        <v>329</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83</v>
      </c>
      <c r="B2484" t="s">
        <v>360</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83</v>
      </c>
      <c r="B2485" t="s">
        <v>358</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83</v>
      </c>
      <c r="B2486" t="s">
        <v>361</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83</v>
      </c>
      <c r="B2487" t="s">
        <v>288</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83</v>
      </c>
      <c r="B2488" t="s">
        <v>306</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83</v>
      </c>
      <c r="B2489" t="s">
        <v>345</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83</v>
      </c>
      <c r="B2490" t="s">
        <v>267</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83</v>
      </c>
      <c r="B2491" t="s">
        <v>194</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83</v>
      </c>
      <c r="B2492" t="s">
        <v>328</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83</v>
      </c>
      <c r="B2493" t="s">
        <v>293</v>
      </c>
      <c r="C2493">
        <v>0</v>
      </c>
      <c r="D2493">
        <v>2</v>
      </c>
      <c r="E2493">
        <v>14</v>
      </c>
      <c r="F2493">
        <v>201</v>
      </c>
      <c r="G2493">
        <v>217</v>
      </c>
      <c r="H2493">
        <v>14</v>
      </c>
      <c r="I2493">
        <v>2</v>
      </c>
      <c r="J2493">
        <v>0.29725897566229698</v>
      </c>
      <c r="L2493">
        <v>-2.53286339005609E-2</v>
      </c>
      <c r="M2493">
        <v>1</v>
      </c>
      <c r="O2493">
        <v>-2.53286339005609E-2</v>
      </c>
    </row>
    <row r="2494" spans="1:15" hidden="1" x14ac:dyDescent="0.3">
      <c r="A2494" t="s">
        <v>83</v>
      </c>
      <c r="B2494" t="s">
        <v>216</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83</v>
      </c>
      <c r="B2495" t="s">
        <v>297</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83</v>
      </c>
      <c r="B2496" t="s">
        <v>359</v>
      </c>
      <c r="C2496">
        <v>0</v>
      </c>
      <c r="D2496">
        <v>2</v>
      </c>
      <c r="E2496">
        <v>14</v>
      </c>
      <c r="F2496">
        <v>201</v>
      </c>
      <c r="G2496">
        <v>217</v>
      </c>
      <c r="H2496">
        <v>14</v>
      </c>
      <c r="I2496">
        <v>2</v>
      </c>
      <c r="J2496">
        <v>0.29725897566229698</v>
      </c>
      <c r="L2496">
        <v>-2.53286339005609E-2</v>
      </c>
      <c r="M2496">
        <v>1</v>
      </c>
      <c r="O2496">
        <v>-2.53286339005609E-2</v>
      </c>
    </row>
    <row r="2497" spans="1:15" hidden="1" x14ac:dyDescent="0.3">
      <c r="A2497" t="s">
        <v>83</v>
      </c>
      <c r="B2497" t="s">
        <v>285</v>
      </c>
      <c r="C2497">
        <v>0</v>
      </c>
      <c r="D2497">
        <v>1</v>
      </c>
      <c r="E2497">
        <v>14</v>
      </c>
      <c r="F2497">
        <v>202</v>
      </c>
      <c r="G2497">
        <v>217</v>
      </c>
      <c r="H2497">
        <v>14</v>
      </c>
      <c r="I2497">
        <v>1</v>
      </c>
      <c r="J2497">
        <v>0.22076594753891099</v>
      </c>
      <c r="L2497">
        <v>-1.78685422472965E-2</v>
      </c>
      <c r="M2497">
        <v>1</v>
      </c>
      <c r="O2497">
        <v>-1.78685422472965E-2</v>
      </c>
    </row>
    <row r="2498" spans="1:15" x14ac:dyDescent="0.3">
      <c r="A2498" t="s">
        <v>83</v>
      </c>
      <c r="B2498" t="s">
        <v>152</v>
      </c>
      <c r="C2498">
        <v>0</v>
      </c>
      <c r="D2498">
        <v>1</v>
      </c>
      <c r="E2498">
        <v>14</v>
      </c>
      <c r="F2498">
        <v>202</v>
      </c>
      <c r="G2498">
        <v>217</v>
      </c>
      <c r="H2498">
        <v>14</v>
      </c>
      <c r="I2498">
        <v>1</v>
      </c>
      <c r="J2498">
        <v>0.22076594753891099</v>
      </c>
      <c r="L2498">
        <v>-1.78685422472965E-2</v>
      </c>
      <c r="M2498">
        <v>1</v>
      </c>
      <c r="O2498">
        <v>-1.78685422472965E-2</v>
      </c>
    </row>
    <row r="2499" spans="1:15" hidden="1" x14ac:dyDescent="0.3">
      <c r="A2499" t="s">
        <v>83</v>
      </c>
      <c r="B2499" t="s">
        <v>213</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83</v>
      </c>
      <c r="B2500" t="s">
        <v>330</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83</v>
      </c>
      <c r="B2501" t="s">
        <v>252</v>
      </c>
      <c r="C2501">
        <v>0</v>
      </c>
      <c r="D2501">
        <v>3</v>
      </c>
      <c r="E2501">
        <v>14</v>
      </c>
      <c r="F2501">
        <v>200</v>
      </c>
      <c r="G2501">
        <v>217</v>
      </c>
      <c r="H2501">
        <v>14</v>
      </c>
      <c r="I2501">
        <v>3</v>
      </c>
      <c r="J2501">
        <v>0.35082268041346898</v>
      </c>
      <c r="L2501">
        <v>-3.1093509233728001E-2</v>
      </c>
      <c r="M2501">
        <v>1</v>
      </c>
      <c r="O2501">
        <v>-3.1093509233728001E-2</v>
      </c>
    </row>
    <row r="2502" spans="1:15" x14ac:dyDescent="0.3">
      <c r="A2502" t="s">
        <v>83</v>
      </c>
      <c r="B2502" t="s">
        <v>170</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83</v>
      </c>
      <c r="B2503" t="s">
        <v>281</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83</v>
      </c>
      <c r="B2504" t="s">
        <v>324</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83</v>
      </c>
      <c r="B2505" t="s">
        <v>278</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83</v>
      </c>
      <c r="B2506" t="s">
        <v>292</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83</v>
      </c>
      <c r="B2507" t="s">
        <v>323</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83</v>
      </c>
      <c r="B2508" t="s">
        <v>326</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83</v>
      </c>
      <c r="B2509" t="s">
        <v>325</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83</v>
      </c>
      <c r="B2510" t="s">
        <v>256</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83</v>
      </c>
      <c r="B2511" t="s">
        <v>243</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83</v>
      </c>
      <c r="B2512" t="s">
        <v>327</v>
      </c>
      <c r="C2512">
        <v>0</v>
      </c>
      <c r="D2512">
        <v>1</v>
      </c>
      <c r="E2512">
        <v>14</v>
      </c>
      <c r="F2512">
        <v>202</v>
      </c>
      <c r="G2512">
        <v>217</v>
      </c>
      <c r="H2512">
        <v>14</v>
      </c>
      <c r="I2512">
        <v>1</v>
      </c>
      <c r="J2512">
        <v>0.22076594753891099</v>
      </c>
      <c r="L2512">
        <v>-1.78685422472965E-2</v>
      </c>
      <c r="M2512">
        <v>1</v>
      </c>
      <c r="O2512">
        <v>-1.78685422472965E-2</v>
      </c>
    </row>
    <row r="2513" spans="1:15" x14ac:dyDescent="0.3">
      <c r="A2513" t="s">
        <v>83</v>
      </c>
      <c r="B2513" t="s">
        <v>174</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83</v>
      </c>
      <c r="B2514" t="s">
        <v>260</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83</v>
      </c>
      <c r="B2515" t="s">
        <v>280</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83</v>
      </c>
      <c r="B2516" t="s">
        <v>318</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83</v>
      </c>
      <c r="B2517" t="s">
        <v>304</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83</v>
      </c>
      <c r="B2518" t="s">
        <v>270</v>
      </c>
      <c r="C2518">
        <v>0</v>
      </c>
      <c r="D2518">
        <v>3</v>
      </c>
      <c r="E2518">
        <v>14</v>
      </c>
      <c r="F2518">
        <v>200</v>
      </c>
      <c r="G2518">
        <v>217</v>
      </c>
      <c r="H2518">
        <v>14</v>
      </c>
      <c r="I2518">
        <v>3</v>
      </c>
      <c r="J2518">
        <v>0.35082268041346898</v>
      </c>
      <c r="L2518">
        <v>-3.1093509233728001E-2</v>
      </c>
      <c r="M2518">
        <v>1</v>
      </c>
      <c r="O2518">
        <v>-3.1093509233728001E-2</v>
      </c>
    </row>
    <row r="2519" spans="1:15" x14ac:dyDescent="0.3">
      <c r="A2519" t="s">
        <v>83</v>
      </c>
      <c r="B2519" t="s">
        <v>257</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83</v>
      </c>
      <c r="B2520" t="s">
        <v>307</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83</v>
      </c>
      <c r="B2521" t="s">
        <v>286</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83</v>
      </c>
      <c r="B2522" t="s">
        <v>198</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83</v>
      </c>
      <c r="B2523" t="s">
        <v>289</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83</v>
      </c>
      <c r="B2524" t="s">
        <v>282</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83</v>
      </c>
      <c r="B2525" t="s">
        <v>291</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95</v>
      </c>
      <c r="B2526" t="s">
        <v>3</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95</v>
      </c>
      <c r="B2527" t="s">
        <v>1</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95</v>
      </c>
      <c r="B2528" t="s">
        <v>314</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95</v>
      </c>
      <c r="B2529" t="s">
        <v>357</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95</v>
      </c>
      <c r="B2530" t="s">
        <v>356</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95</v>
      </c>
      <c r="B2531" t="s">
        <v>273</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95</v>
      </c>
      <c r="B2532" t="s">
        <v>242</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95</v>
      </c>
      <c r="B2533" t="s">
        <v>332</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95</v>
      </c>
      <c r="B2534" t="s">
        <v>355</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95</v>
      </c>
      <c r="B2535" t="s">
        <v>335</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95</v>
      </c>
      <c r="B2536" t="s">
        <v>266</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95</v>
      </c>
      <c r="B2537" t="s">
        <v>272</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95</v>
      </c>
      <c r="B2538" t="s">
        <v>310</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95</v>
      </c>
      <c r="B2539" t="s">
        <v>317</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95</v>
      </c>
      <c r="B2540" t="s">
        <v>9</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95</v>
      </c>
      <c r="B2541" t="s">
        <v>362</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95</v>
      </c>
      <c r="B2542" t="s">
        <v>354</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95</v>
      </c>
      <c r="B2543" t="s">
        <v>353</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95</v>
      </c>
      <c r="B2544" t="s">
        <v>363</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95</v>
      </c>
      <c r="B2545" t="s">
        <v>305</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95</v>
      </c>
      <c r="B2546" t="s">
        <v>339</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95</v>
      </c>
      <c r="B2547" t="s">
        <v>248</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95</v>
      </c>
      <c r="B2548" t="s">
        <v>342</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95</v>
      </c>
      <c r="B2549" t="s">
        <v>315</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95</v>
      </c>
      <c r="B2550" t="s">
        <v>247</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95</v>
      </c>
      <c r="B2551" t="s">
        <v>241</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95</v>
      </c>
      <c r="B2552" t="s">
        <v>334</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95</v>
      </c>
      <c r="B2553" t="s">
        <v>300</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95</v>
      </c>
      <c r="B2554" t="s">
        <v>265</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95</v>
      </c>
      <c r="B2555" t="s">
        <v>271</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95</v>
      </c>
      <c r="B2556" t="s">
        <v>255</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95</v>
      </c>
      <c r="B2557" t="s">
        <v>296</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95</v>
      </c>
      <c r="B2558" t="s">
        <v>249</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95</v>
      </c>
      <c r="B2559" t="s">
        <v>308</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95</v>
      </c>
      <c r="B2560" t="s">
        <v>319</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95</v>
      </c>
      <c r="B2561" t="s">
        <v>245</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95</v>
      </c>
      <c r="B2562" t="s">
        <v>240</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95</v>
      </c>
      <c r="B2563" t="s">
        <v>343</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95</v>
      </c>
      <c r="B2564" t="s">
        <v>258</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95</v>
      </c>
      <c r="B2565" t="s">
        <v>344</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95</v>
      </c>
      <c r="B2566" t="s">
        <v>276</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95</v>
      </c>
      <c r="B2567" t="s">
        <v>333</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95</v>
      </c>
      <c r="B2568" t="s">
        <v>263</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95</v>
      </c>
      <c r="B2569" t="s">
        <v>254</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95</v>
      </c>
      <c r="B2570" t="s">
        <v>320</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95</v>
      </c>
      <c r="B2571" t="s">
        <v>275</v>
      </c>
      <c r="C2571">
        <v>0</v>
      </c>
      <c r="D2571">
        <v>11</v>
      </c>
      <c r="E2571">
        <v>1</v>
      </c>
      <c r="F2571">
        <v>205</v>
      </c>
      <c r="G2571">
        <v>217</v>
      </c>
      <c r="H2571">
        <v>1</v>
      </c>
      <c r="I2571">
        <v>11</v>
      </c>
      <c r="J2571">
        <v>0.19837015644199599</v>
      </c>
      <c r="L2571">
        <v>-1.5723016016341299E-2</v>
      </c>
      <c r="M2571">
        <v>1</v>
      </c>
      <c r="O2571">
        <v>-1.5723016016341299E-2</v>
      </c>
    </row>
    <row r="2572" spans="1:15" hidden="1" x14ac:dyDescent="0.3">
      <c r="A2572" t="s">
        <v>95</v>
      </c>
      <c r="B2572" t="s">
        <v>221</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95</v>
      </c>
      <c r="B2573" t="s">
        <v>322</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95</v>
      </c>
      <c r="B2574" t="s">
        <v>303</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95</v>
      </c>
      <c r="B2575" t="s">
        <v>302</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95</v>
      </c>
      <c r="B2576" t="s">
        <v>147</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95</v>
      </c>
      <c r="B2577" t="s">
        <v>284</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95</v>
      </c>
      <c r="B2578" t="s">
        <v>299</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95</v>
      </c>
      <c r="B2579" t="s">
        <v>301</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95</v>
      </c>
      <c r="B2580" t="s">
        <v>268</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95</v>
      </c>
      <c r="B2581" t="s">
        <v>290</v>
      </c>
      <c r="C2581">
        <v>0</v>
      </c>
      <c r="D2581">
        <v>1</v>
      </c>
      <c r="E2581">
        <v>1</v>
      </c>
      <c r="F2581">
        <v>215</v>
      </c>
      <c r="G2581">
        <v>217</v>
      </c>
      <c r="H2581">
        <v>1</v>
      </c>
      <c r="I2581">
        <v>1</v>
      </c>
      <c r="J2581">
        <v>6.4493014968382195E-2</v>
      </c>
      <c r="L2581">
        <v>-4.6296296296296198E-3</v>
      </c>
      <c r="M2581">
        <v>1</v>
      </c>
      <c r="O2581">
        <v>-4.6296296296296198E-3</v>
      </c>
    </row>
    <row r="2582" spans="1:15" hidden="1" x14ac:dyDescent="0.3">
      <c r="A2582" t="s">
        <v>95</v>
      </c>
      <c r="B2582" t="s">
        <v>351</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95</v>
      </c>
      <c r="B2583" t="s">
        <v>337</v>
      </c>
      <c r="C2583">
        <v>0</v>
      </c>
      <c r="D2583">
        <v>3</v>
      </c>
      <c r="E2583">
        <v>1</v>
      </c>
      <c r="F2583">
        <v>213</v>
      </c>
      <c r="G2583">
        <v>217</v>
      </c>
      <c r="H2583">
        <v>1</v>
      </c>
      <c r="I2583">
        <v>3</v>
      </c>
      <c r="J2583">
        <v>0.109052747711589</v>
      </c>
      <c r="L2583">
        <v>-8.0561374087138593E-3</v>
      </c>
      <c r="M2583">
        <v>1</v>
      </c>
      <c r="O2583">
        <v>-8.0561374087138593E-3</v>
      </c>
    </row>
    <row r="2584" spans="1:15" hidden="1" x14ac:dyDescent="0.3">
      <c r="A2584" t="s">
        <v>95</v>
      </c>
      <c r="B2584" t="s">
        <v>212</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95</v>
      </c>
      <c r="B2585" t="s">
        <v>250</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95</v>
      </c>
      <c r="B2586" t="s">
        <v>246</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95</v>
      </c>
      <c r="B2587" t="s">
        <v>347</v>
      </c>
      <c r="C2587">
        <v>0</v>
      </c>
      <c r="D2587">
        <v>1</v>
      </c>
      <c r="E2587">
        <v>1</v>
      </c>
      <c r="F2587">
        <v>215</v>
      </c>
      <c r="G2587">
        <v>217</v>
      </c>
      <c r="H2587">
        <v>1</v>
      </c>
      <c r="I2587">
        <v>1</v>
      </c>
      <c r="J2587">
        <v>6.4493014968382195E-2</v>
      </c>
      <c r="L2587">
        <v>-4.6296296296296198E-3</v>
      </c>
      <c r="M2587">
        <v>1</v>
      </c>
      <c r="O2587">
        <v>-4.6296296296296198E-3</v>
      </c>
    </row>
    <row r="2588" spans="1:15" hidden="1" x14ac:dyDescent="0.3">
      <c r="A2588" t="s">
        <v>95</v>
      </c>
      <c r="B2588" t="s">
        <v>153</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95</v>
      </c>
      <c r="B2589" t="s">
        <v>283</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95</v>
      </c>
      <c r="B2590" t="s">
        <v>5</v>
      </c>
      <c r="C2590">
        <v>1</v>
      </c>
      <c r="D2590">
        <v>2</v>
      </c>
      <c r="E2590">
        <v>0</v>
      </c>
      <c r="F2590">
        <v>214</v>
      </c>
      <c r="G2590">
        <v>217</v>
      </c>
      <c r="H2590">
        <v>1</v>
      </c>
      <c r="I2590">
        <v>3</v>
      </c>
      <c r="J2590">
        <v>0.109052747711589</v>
      </c>
      <c r="L2590">
        <v>0.57467113515492196</v>
      </c>
      <c r="M2590">
        <v>1.3824884792626699E-2</v>
      </c>
      <c r="O2590">
        <v>0.57467113515492196</v>
      </c>
    </row>
    <row r="2591" spans="1:15" hidden="1" x14ac:dyDescent="0.3">
      <c r="A2591" t="s">
        <v>95</v>
      </c>
      <c r="B2591" t="s">
        <v>219</v>
      </c>
      <c r="C2591">
        <v>0</v>
      </c>
      <c r="D2591">
        <v>4</v>
      </c>
      <c r="E2591">
        <v>1</v>
      </c>
      <c r="F2591">
        <v>212</v>
      </c>
      <c r="G2591">
        <v>217</v>
      </c>
      <c r="H2591">
        <v>1</v>
      </c>
      <c r="I2591">
        <v>4</v>
      </c>
      <c r="J2591">
        <v>0.124826680957052</v>
      </c>
      <c r="L2591">
        <v>-9.3242373144076501E-3</v>
      </c>
      <c r="M2591">
        <v>1</v>
      </c>
      <c r="O2591">
        <v>-9.3242373144076501E-3</v>
      </c>
    </row>
    <row r="2592" spans="1:15" hidden="1" x14ac:dyDescent="0.3">
      <c r="A2592" t="s">
        <v>95</v>
      </c>
      <c r="B2592" t="s">
        <v>220</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95</v>
      </c>
      <c r="B2593" t="s">
        <v>201</v>
      </c>
      <c r="C2593">
        <v>0</v>
      </c>
      <c r="D2593">
        <v>4</v>
      </c>
      <c r="E2593">
        <v>1</v>
      </c>
      <c r="F2593">
        <v>212</v>
      </c>
      <c r="G2593">
        <v>217</v>
      </c>
      <c r="H2593">
        <v>1</v>
      </c>
      <c r="I2593">
        <v>4</v>
      </c>
      <c r="J2593">
        <v>0.124826680957052</v>
      </c>
      <c r="L2593">
        <v>-9.3242373144076501E-3</v>
      </c>
      <c r="M2593">
        <v>1</v>
      </c>
      <c r="O2593">
        <v>-9.3242373144076501E-3</v>
      </c>
    </row>
    <row r="2594" spans="1:15" hidden="1" x14ac:dyDescent="0.3">
      <c r="A2594" t="s">
        <v>95</v>
      </c>
      <c r="B2594" t="s">
        <v>279</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95</v>
      </c>
      <c r="B2595" t="s">
        <v>262</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95</v>
      </c>
      <c r="B2596" t="s">
        <v>321</v>
      </c>
      <c r="C2596">
        <v>0</v>
      </c>
      <c r="D2596">
        <v>1</v>
      </c>
      <c r="E2596">
        <v>1</v>
      </c>
      <c r="F2596">
        <v>215</v>
      </c>
      <c r="G2596">
        <v>217</v>
      </c>
      <c r="H2596">
        <v>1</v>
      </c>
      <c r="I2596">
        <v>1</v>
      </c>
      <c r="J2596">
        <v>6.4493014968382195E-2</v>
      </c>
      <c r="L2596">
        <v>-4.6296296296296198E-3</v>
      </c>
      <c r="M2596">
        <v>1</v>
      </c>
      <c r="O2596">
        <v>-4.6296296296296198E-3</v>
      </c>
    </row>
    <row r="2597" spans="1:15" hidden="1" x14ac:dyDescent="0.3">
      <c r="A2597" t="s">
        <v>95</v>
      </c>
      <c r="B2597" t="s">
        <v>215</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95</v>
      </c>
      <c r="B2598" t="s">
        <v>253</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95</v>
      </c>
      <c r="B2599" t="s">
        <v>341</v>
      </c>
      <c r="C2599">
        <v>0</v>
      </c>
      <c r="D2599">
        <v>1</v>
      </c>
      <c r="E2599">
        <v>1</v>
      </c>
      <c r="F2599">
        <v>215</v>
      </c>
      <c r="G2599">
        <v>217</v>
      </c>
      <c r="H2599">
        <v>1</v>
      </c>
      <c r="I2599">
        <v>1</v>
      </c>
      <c r="J2599">
        <v>6.4493014968382195E-2</v>
      </c>
      <c r="L2599">
        <v>-4.6296296296296198E-3</v>
      </c>
      <c r="M2599">
        <v>1</v>
      </c>
      <c r="O2599">
        <v>-4.6296296296296198E-3</v>
      </c>
    </row>
    <row r="2600" spans="1:15" hidden="1" x14ac:dyDescent="0.3">
      <c r="A2600" t="s">
        <v>95</v>
      </c>
      <c r="B2600" t="s">
        <v>214</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95</v>
      </c>
      <c r="B2601" t="s">
        <v>168</v>
      </c>
      <c r="C2601">
        <v>0</v>
      </c>
      <c r="D2601">
        <v>5</v>
      </c>
      <c r="E2601">
        <v>1</v>
      </c>
      <c r="F2601">
        <v>211</v>
      </c>
      <c r="G2601">
        <v>217</v>
      </c>
      <c r="H2601">
        <v>1</v>
      </c>
      <c r="I2601">
        <v>5</v>
      </c>
      <c r="J2601">
        <v>0.138492225345964</v>
      </c>
      <c r="L2601">
        <v>-1.0449372136989901E-2</v>
      </c>
      <c r="M2601">
        <v>1</v>
      </c>
      <c r="O2601">
        <v>-1.0449372136989901E-2</v>
      </c>
    </row>
    <row r="2602" spans="1:15" hidden="1" x14ac:dyDescent="0.3">
      <c r="A2602" t="s">
        <v>95</v>
      </c>
      <c r="B2602" t="s">
        <v>352</v>
      </c>
      <c r="C2602">
        <v>0</v>
      </c>
      <c r="D2602">
        <v>1</v>
      </c>
      <c r="E2602">
        <v>1</v>
      </c>
      <c r="F2602">
        <v>215</v>
      </c>
      <c r="G2602">
        <v>217</v>
      </c>
      <c r="H2602">
        <v>1</v>
      </c>
      <c r="I2602">
        <v>1</v>
      </c>
      <c r="J2602">
        <v>6.4493014968382195E-2</v>
      </c>
      <c r="L2602">
        <v>-4.6296296296296198E-3</v>
      </c>
      <c r="M2602">
        <v>1</v>
      </c>
      <c r="O2602">
        <v>-4.6296296296296198E-3</v>
      </c>
    </row>
    <row r="2603" spans="1:15" x14ac:dyDescent="0.3">
      <c r="A2603" t="s">
        <v>95</v>
      </c>
      <c r="B2603" t="s">
        <v>169</v>
      </c>
      <c r="C2603">
        <v>0</v>
      </c>
      <c r="D2603">
        <v>2</v>
      </c>
      <c r="E2603">
        <v>1</v>
      </c>
      <c r="F2603">
        <v>214</v>
      </c>
      <c r="G2603">
        <v>217</v>
      </c>
      <c r="H2603">
        <v>1</v>
      </c>
      <c r="I2603">
        <v>2</v>
      </c>
      <c r="J2603">
        <v>8.9972904061745101E-2</v>
      </c>
      <c r="L2603">
        <v>-6.5624935913179798E-3</v>
      </c>
      <c r="M2603">
        <v>1</v>
      </c>
      <c r="O2603">
        <v>-6.5624935913179798E-3</v>
      </c>
    </row>
    <row r="2604" spans="1:15" x14ac:dyDescent="0.3">
      <c r="A2604" t="s">
        <v>95</v>
      </c>
      <c r="B2604" t="s">
        <v>175</v>
      </c>
      <c r="C2604">
        <v>1</v>
      </c>
      <c r="D2604">
        <v>0</v>
      </c>
      <c r="E2604">
        <v>0</v>
      </c>
      <c r="F2604">
        <v>216</v>
      </c>
      <c r="G2604">
        <v>217</v>
      </c>
      <c r="H2604">
        <v>1</v>
      </c>
      <c r="I2604">
        <v>1</v>
      </c>
      <c r="J2604">
        <v>6.4493014968382195E-2</v>
      </c>
      <c r="L2604">
        <v>1</v>
      </c>
      <c r="M2604">
        <v>4.60829493087557E-3</v>
      </c>
      <c r="O2604">
        <v>1</v>
      </c>
    </row>
    <row r="2605" spans="1:15" hidden="1" x14ac:dyDescent="0.3">
      <c r="A2605" t="s">
        <v>95</v>
      </c>
      <c r="B2605" t="s">
        <v>340</v>
      </c>
      <c r="C2605">
        <v>0</v>
      </c>
      <c r="D2605">
        <v>1</v>
      </c>
      <c r="E2605">
        <v>1</v>
      </c>
      <c r="F2605">
        <v>215</v>
      </c>
      <c r="G2605">
        <v>217</v>
      </c>
      <c r="H2605">
        <v>1</v>
      </c>
      <c r="I2605">
        <v>1</v>
      </c>
      <c r="J2605">
        <v>6.4493014968382195E-2</v>
      </c>
      <c r="L2605">
        <v>-4.6296296296296198E-3</v>
      </c>
      <c r="M2605">
        <v>1</v>
      </c>
      <c r="O2605">
        <v>-4.6296296296296198E-3</v>
      </c>
    </row>
    <row r="2606" spans="1:15" hidden="1" x14ac:dyDescent="0.3">
      <c r="A2606" t="s">
        <v>95</v>
      </c>
      <c r="B2606" t="s">
        <v>190</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95</v>
      </c>
      <c r="B2607" t="s">
        <v>346</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95</v>
      </c>
      <c r="B2608" t="s">
        <v>309</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95</v>
      </c>
      <c r="B2609" t="s">
        <v>148</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95</v>
      </c>
      <c r="B2610" t="s">
        <v>173</v>
      </c>
      <c r="C2610">
        <v>0</v>
      </c>
      <c r="D2610">
        <v>2</v>
      </c>
      <c r="E2610">
        <v>1</v>
      </c>
      <c r="F2610">
        <v>214</v>
      </c>
      <c r="G2610">
        <v>217</v>
      </c>
      <c r="H2610">
        <v>1</v>
      </c>
      <c r="I2610">
        <v>2</v>
      </c>
      <c r="J2610">
        <v>8.9972904061745101E-2</v>
      </c>
      <c r="L2610">
        <v>-6.5624935913179798E-3</v>
      </c>
      <c r="M2610">
        <v>1</v>
      </c>
      <c r="O2610">
        <v>-6.5624935913179798E-3</v>
      </c>
    </row>
    <row r="2611" spans="1:15" hidden="1" x14ac:dyDescent="0.3">
      <c r="A2611" t="s">
        <v>95</v>
      </c>
      <c r="B2611" t="s">
        <v>217</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95</v>
      </c>
      <c r="B2612" t="s">
        <v>348</v>
      </c>
      <c r="C2612">
        <v>0</v>
      </c>
      <c r="D2612">
        <v>1</v>
      </c>
      <c r="E2612">
        <v>1</v>
      </c>
      <c r="F2612">
        <v>215</v>
      </c>
      <c r="G2612">
        <v>217</v>
      </c>
      <c r="H2612">
        <v>1</v>
      </c>
      <c r="I2612">
        <v>1</v>
      </c>
      <c r="J2612">
        <v>6.4493014968382195E-2</v>
      </c>
      <c r="L2612">
        <v>-4.6296296296296198E-3</v>
      </c>
      <c r="M2612">
        <v>1</v>
      </c>
      <c r="O2612">
        <v>-4.6296296296296198E-3</v>
      </c>
    </row>
    <row r="2613" spans="1:15" hidden="1" x14ac:dyDescent="0.3">
      <c r="A2613" t="s">
        <v>95</v>
      </c>
      <c r="B2613" t="s">
        <v>222</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95</v>
      </c>
      <c r="B2614" t="s">
        <v>269</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95</v>
      </c>
      <c r="B2615" t="s">
        <v>349</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95</v>
      </c>
      <c r="B2616" t="s">
        <v>274</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95</v>
      </c>
      <c r="B2617" t="s">
        <v>316</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95</v>
      </c>
      <c r="B2618" t="s">
        <v>350</v>
      </c>
      <c r="C2618">
        <v>0</v>
      </c>
      <c r="D2618">
        <v>1</v>
      </c>
      <c r="E2618">
        <v>1</v>
      </c>
      <c r="F2618">
        <v>215</v>
      </c>
      <c r="G2618">
        <v>217</v>
      </c>
      <c r="H2618">
        <v>1</v>
      </c>
      <c r="I2618">
        <v>1</v>
      </c>
      <c r="J2618">
        <v>6.4493014968382195E-2</v>
      </c>
      <c r="L2618">
        <v>-4.6296296296296198E-3</v>
      </c>
      <c r="M2618">
        <v>1</v>
      </c>
      <c r="O2618">
        <v>-4.6296296296296198E-3</v>
      </c>
    </row>
    <row r="2619" spans="1:15" hidden="1" x14ac:dyDescent="0.3">
      <c r="A2619" t="s">
        <v>95</v>
      </c>
      <c r="B2619" t="s">
        <v>218</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95</v>
      </c>
      <c r="B2620" t="s">
        <v>261</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95</v>
      </c>
      <c r="B2621" t="s">
        <v>277</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95</v>
      </c>
      <c r="B2622" t="s">
        <v>251</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95</v>
      </c>
      <c r="B2623" t="s">
        <v>259</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95</v>
      </c>
      <c r="B2624" t="s">
        <v>329</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95</v>
      </c>
      <c r="B2625" t="s">
        <v>360</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95</v>
      </c>
      <c r="B2626" t="s">
        <v>358</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95</v>
      </c>
      <c r="B2627" t="s">
        <v>312</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95</v>
      </c>
      <c r="B2628" t="s">
        <v>361</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95</v>
      </c>
      <c r="B2629" t="s">
        <v>288</v>
      </c>
      <c r="C2629">
        <v>1</v>
      </c>
      <c r="D2629">
        <v>0</v>
      </c>
      <c r="E2629">
        <v>0</v>
      </c>
      <c r="F2629">
        <v>216</v>
      </c>
      <c r="G2629">
        <v>217</v>
      </c>
      <c r="H2629">
        <v>1</v>
      </c>
      <c r="I2629">
        <v>1</v>
      </c>
      <c r="J2629">
        <v>6.4493014968382195E-2</v>
      </c>
      <c r="L2629">
        <v>1</v>
      </c>
      <c r="M2629">
        <v>4.60829493087557E-3</v>
      </c>
      <c r="O2629">
        <v>1</v>
      </c>
    </row>
    <row r="2630" spans="1:15" hidden="1" x14ac:dyDescent="0.3">
      <c r="A2630" t="s">
        <v>95</v>
      </c>
      <c r="B2630" t="s">
        <v>306</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95</v>
      </c>
      <c r="B2631" t="s">
        <v>345</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95</v>
      </c>
      <c r="B2632" t="s">
        <v>338</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95</v>
      </c>
      <c r="B2633" t="s">
        <v>267</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95</v>
      </c>
      <c r="B2634" t="s">
        <v>194</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95</v>
      </c>
      <c r="B2635" t="s">
        <v>328</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95</v>
      </c>
      <c r="B2636" t="s">
        <v>293</v>
      </c>
      <c r="C2636">
        <v>0</v>
      </c>
      <c r="D2636">
        <v>2</v>
      </c>
      <c r="E2636">
        <v>1</v>
      </c>
      <c r="F2636">
        <v>214</v>
      </c>
      <c r="G2636">
        <v>217</v>
      </c>
      <c r="H2636">
        <v>1</v>
      </c>
      <c r="I2636">
        <v>2</v>
      </c>
      <c r="J2636">
        <v>8.9972904061745101E-2</v>
      </c>
      <c r="L2636">
        <v>-6.5624935913179798E-3</v>
      </c>
      <c r="M2636">
        <v>1</v>
      </c>
      <c r="O2636">
        <v>-6.5624935913179798E-3</v>
      </c>
    </row>
    <row r="2637" spans="1:15" hidden="1" x14ac:dyDescent="0.3">
      <c r="A2637" t="s">
        <v>95</v>
      </c>
      <c r="B2637" t="s">
        <v>216</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95</v>
      </c>
      <c r="B2638" t="s">
        <v>297</v>
      </c>
      <c r="C2638">
        <v>0</v>
      </c>
      <c r="D2638">
        <v>1</v>
      </c>
      <c r="E2638">
        <v>1</v>
      </c>
      <c r="F2638">
        <v>215</v>
      </c>
      <c r="G2638">
        <v>217</v>
      </c>
      <c r="H2638">
        <v>1</v>
      </c>
      <c r="I2638">
        <v>1</v>
      </c>
      <c r="J2638">
        <v>6.4493014968382195E-2</v>
      </c>
      <c r="L2638">
        <v>-4.6296296296296198E-3</v>
      </c>
      <c r="M2638">
        <v>1</v>
      </c>
      <c r="O2638">
        <v>-4.6296296296296198E-3</v>
      </c>
    </row>
    <row r="2639" spans="1:15" hidden="1" x14ac:dyDescent="0.3">
      <c r="A2639" t="s">
        <v>95</v>
      </c>
      <c r="B2639" t="s">
        <v>264</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95</v>
      </c>
      <c r="B2640" t="s">
        <v>359</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95</v>
      </c>
      <c r="B2641" t="s">
        <v>313</v>
      </c>
      <c r="C2641">
        <v>0</v>
      </c>
      <c r="D2641">
        <v>1</v>
      </c>
      <c r="E2641">
        <v>1</v>
      </c>
      <c r="F2641">
        <v>215</v>
      </c>
      <c r="G2641">
        <v>217</v>
      </c>
      <c r="H2641">
        <v>1</v>
      </c>
      <c r="I2641">
        <v>1</v>
      </c>
      <c r="J2641">
        <v>6.4493014968382195E-2</v>
      </c>
      <c r="L2641">
        <v>-4.6296296296296198E-3</v>
      </c>
      <c r="M2641">
        <v>1</v>
      </c>
      <c r="O2641">
        <v>-4.6296296296296198E-3</v>
      </c>
    </row>
    <row r="2642" spans="1:15" hidden="1" x14ac:dyDescent="0.3">
      <c r="A2642" t="s">
        <v>95</v>
      </c>
      <c r="B2642" t="s">
        <v>331</v>
      </c>
      <c r="C2642">
        <v>0</v>
      </c>
      <c r="D2642">
        <v>2</v>
      </c>
      <c r="E2642">
        <v>1</v>
      </c>
      <c r="F2642">
        <v>214</v>
      </c>
      <c r="G2642">
        <v>217</v>
      </c>
      <c r="H2642">
        <v>1</v>
      </c>
      <c r="I2642">
        <v>2</v>
      </c>
      <c r="J2642">
        <v>8.9972904061745101E-2</v>
      </c>
      <c r="L2642">
        <v>-6.5624935913179798E-3</v>
      </c>
      <c r="M2642">
        <v>1</v>
      </c>
      <c r="O2642">
        <v>-6.5624935913179798E-3</v>
      </c>
    </row>
    <row r="2643" spans="1:15" hidden="1" x14ac:dyDescent="0.3">
      <c r="A2643" t="s">
        <v>95</v>
      </c>
      <c r="B2643" t="s">
        <v>285</v>
      </c>
      <c r="C2643">
        <v>0</v>
      </c>
      <c r="D2643">
        <v>1</v>
      </c>
      <c r="E2643">
        <v>1</v>
      </c>
      <c r="F2643">
        <v>215</v>
      </c>
      <c r="G2643">
        <v>217</v>
      </c>
      <c r="H2643">
        <v>1</v>
      </c>
      <c r="I2643">
        <v>1</v>
      </c>
      <c r="J2643">
        <v>6.4493014968382195E-2</v>
      </c>
      <c r="L2643">
        <v>-4.6296296296296198E-3</v>
      </c>
      <c r="M2643">
        <v>1</v>
      </c>
      <c r="O2643">
        <v>-4.6296296296296198E-3</v>
      </c>
    </row>
    <row r="2644" spans="1:15" x14ac:dyDescent="0.3">
      <c r="A2644" t="s">
        <v>95</v>
      </c>
      <c r="B2644" t="s">
        <v>152</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95</v>
      </c>
      <c r="B2645" t="s">
        <v>311</v>
      </c>
      <c r="C2645">
        <v>0</v>
      </c>
      <c r="D2645">
        <v>1</v>
      </c>
      <c r="E2645">
        <v>1</v>
      </c>
      <c r="F2645">
        <v>215</v>
      </c>
      <c r="G2645">
        <v>217</v>
      </c>
      <c r="H2645">
        <v>1</v>
      </c>
      <c r="I2645">
        <v>1</v>
      </c>
      <c r="J2645">
        <v>6.4493014968382195E-2</v>
      </c>
      <c r="L2645">
        <v>-4.6296296296296198E-3</v>
      </c>
      <c r="M2645">
        <v>1</v>
      </c>
      <c r="O2645">
        <v>-4.6296296296296198E-3</v>
      </c>
    </row>
    <row r="2646" spans="1:15" hidden="1" x14ac:dyDescent="0.3">
      <c r="A2646" t="s">
        <v>95</v>
      </c>
      <c r="B2646" t="s">
        <v>213</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95</v>
      </c>
      <c r="B2647" t="s">
        <v>330</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95</v>
      </c>
      <c r="B2648" t="s">
        <v>252</v>
      </c>
      <c r="C2648">
        <v>0</v>
      </c>
      <c r="D2648">
        <v>3</v>
      </c>
      <c r="E2648">
        <v>1</v>
      </c>
      <c r="F2648">
        <v>213</v>
      </c>
      <c r="G2648">
        <v>217</v>
      </c>
      <c r="H2648">
        <v>1</v>
      </c>
      <c r="I2648">
        <v>3</v>
      </c>
      <c r="J2648">
        <v>0.109052747711589</v>
      </c>
      <c r="L2648">
        <v>-8.0561374087138593E-3</v>
      </c>
      <c r="M2648">
        <v>1</v>
      </c>
      <c r="O2648">
        <v>-8.0561374087138593E-3</v>
      </c>
    </row>
    <row r="2649" spans="1:15" x14ac:dyDescent="0.3">
      <c r="A2649" t="s">
        <v>95</v>
      </c>
      <c r="B2649" t="s">
        <v>170</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95</v>
      </c>
      <c r="B2650" t="s">
        <v>281</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95</v>
      </c>
      <c r="B2651" t="s">
        <v>324</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95</v>
      </c>
      <c r="B2652" t="s">
        <v>278</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95</v>
      </c>
      <c r="B2653" t="s">
        <v>292</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95</v>
      </c>
      <c r="B2654" t="s">
        <v>172</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95</v>
      </c>
      <c r="B2655" t="s">
        <v>323</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95</v>
      </c>
      <c r="B2656" t="s">
        <v>326</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95</v>
      </c>
      <c r="B2657" t="s">
        <v>325</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95</v>
      </c>
      <c r="B2658" t="s">
        <v>256</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95</v>
      </c>
      <c r="B2659" t="s">
        <v>243</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95</v>
      </c>
      <c r="B2660" t="s">
        <v>327</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95</v>
      </c>
      <c r="B2661" t="s">
        <v>174</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95</v>
      </c>
      <c r="B2662" t="s">
        <v>260</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95</v>
      </c>
      <c r="B2663" t="s">
        <v>280</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95</v>
      </c>
      <c r="B2664" t="s">
        <v>318</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95</v>
      </c>
      <c r="B2665" t="s">
        <v>244</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95</v>
      </c>
      <c r="B2666" t="s">
        <v>336</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95</v>
      </c>
      <c r="B2667" t="s">
        <v>304</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95</v>
      </c>
      <c r="B2668" t="s">
        <v>270</v>
      </c>
      <c r="C2668">
        <v>0</v>
      </c>
      <c r="D2668">
        <v>3</v>
      </c>
      <c r="E2668">
        <v>1</v>
      </c>
      <c r="F2668">
        <v>213</v>
      </c>
      <c r="G2668">
        <v>217</v>
      </c>
      <c r="H2668">
        <v>1</v>
      </c>
      <c r="I2668">
        <v>3</v>
      </c>
      <c r="J2668">
        <v>0.109052747711589</v>
      </c>
      <c r="L2668">
        <v>-8.0561374087138593E-3</v>
      </c>
      <c r="M2668">
        <v>1</v>
      </c>
      <c r="O2668">
        <v>-8.0561374087138593E-3</v>
      </c>
    </row>
    <row r="2669" spans="1:15" x14ac:dyDescent="0.3">
      <c r="A2669" t="s">
        <v>95</v>
      </c>
      <c r="B2669" t="s">
        <v>257</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95</v>
      </c>
      <c r="B2670" t="s">
        <v>307</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95</v>
      </c>
      <c r="B2671" t="s">
        <v>286</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95</v>
      </c>
      <c r="B2672" t="s">
        <v>198</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95</v>
      </c>
      <c r="B2673" t="s">
        <v>289</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95</v>
      </c>
      <c r="B2674" t="s">
        <v>282</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95</v>
      </c>
      <c r="B2675" t="s">
        <v>291</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97</v>
      </c>
      <c r="B2676" t="s">
        <v>3</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97</v>
      </c>
      <c r="B2677" t="s">
        <v>1</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97</v>
      </c>
      <c r="B2678" t="s">
        <v>314</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97</v>
      </c>
      <c r="B2679" t="s">
        <v>357</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97</v>
      </c>
      <c r="B2680" t="s">
        <v>356</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97</v>
      </c>
      <c r="B2681" t="s">
        <v>273</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97</v>
      </c>
      <c r="B2682" t="s">
        <v>242</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97</v>
      </c>
      <c r="B2683" t="s">
        <v>332</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97</v>
      </c>
      <c r="B2684" t="s">
        <v>355</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97</v>
      </c>
      <c r="B2685" t="s">
        <v>335</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97</v>
      </c>
      <c r="B2686" t="s">
        <v>266</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97</v>
      </c>
      <c r="B2687" t="s">
        <v>272</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97</v>
      </c>
      <c r="B2688" t="s">
        <v>310</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97</v>
      </c>
      <c r="B2689" t="s">
        <v>317</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97</v>
      </c>
      <c r="B2690" t="s">
        <v>9</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97</v>
      </c>
      <c r="B2691" t="s">
        <v>362</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97</v>
      </c>
      <c r="B2692" t="s">
        <v>354</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97</v>
      </c>
      <c r="B2693" t="s">
        <v>353</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97</v>
      </c>
      <c r="B2694" t="s">
        <v>363</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97</v>
      </c>
      <c r="B2695" t="s">
        <v>305</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97</v>
      </c>
      <c r="B2696" t="s">
        <v>339</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97</v>
      </c>
      <c r="B2697" t="s">
        <v>248</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97</v>
      </c>
      <c r="B2698" t="s">
        <v>342</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97</v>
      </c>
      <c r="B2699" t="s">
        <v>315</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97</v>
      </c>
      <c r="B2700" t="s">
        <v>247</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97</v>
      </c>
      <c r="B2701" t="s">
        <v>241</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97</v>
      </c>
      <c r="B2702" t="s">
        <v>334</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97</v>
      </c>
      <c r="B2703" t="s">
        <v>300</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97</v>
      </c>
      <c r="B2704" t="s">
        <v>265</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97</v>
      </c>
      <c r="B2705" t="s">
        <v>271</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97</v>
      </c>
      <c r="B2706" t="s">
        <v>255</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97</v>
      </c>
      <c r="B2707" t="s">
        <v>296</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97</v>
      </c>
      <c r="B2708" t="s">
        <v>249</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97</v>
      </c>
      <c r="B2709" t="s">
        <v>308</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97</v>
      </c>
      <c r="B2710" t="s">
        <v>319</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97</v>
      </c>
      <c r="B2711" t="s">
        <v>245</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97</v>
      </c>
      <c r="B2712" t="s">
        <v>240</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97</v>
      </c>
      <c r="B2713" t="s">
        <v>343</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97</v>
      </c>
      <c r="B2714" t="s">
        <v>258</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97</v>
      </c>
      <c r="B2715" t="s">
        <v>344</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97</v>
      </c>
      <c r="B2716" t="s">
        <v>276</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97</v>
      </c>
      <c r="B2717" t="s">
        <v>333</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97</v>
      </c>
      <c r="B2718" t="s">
        <v>263</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97</v>
      </c>
      <c r="B2719" t="s">
        <v>254</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97</v>
      </c>
      <c r="B2720" t="s">
        <v>320</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97</v>
      </c>
      <c r="B2721" t="s">
        <v>275</v>
      </c>
      <c r="C2721">
        <v>0</v>
      </c>
      <c r="D2721">
        <v>11</v>
      </c>
      <c r="E2721">
        <v>2</v>
      </c>
      <c r="F2721">
        <v>204</v>
      </c>
      <c r="G2721">
        <v>217</v>
      </c>
      <c r="H2721">
        <v>2</v>
      </c>
      <c r="I2721">
        <v>11</v>
      </c>
      <c r="J2721">
        <v>0.26852657159596099</v>
      </c>
      <c r="L2721">
        <v>-2.22873534381808E-2</v>
      </c>
      <c r="M2721">
        <v>1</v>
      </c>
      <c r="O2721">
        <v>-2.22873534381808E-2</v>
      </c>
    </row>
    <row r="2722" spans="1:15" hidden="1" x14ac:dyDescent="0.3">
      <c r="A2722" t="s">
        <v>97</v>
      </c>
      <c r="B2722" t="s">
        <v>221</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97</v>
      </c>
      <c r="B2723" t="s">
        <v>322</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97</v>
      </c>
      <c r="B2724" t="s">
        <v>303</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97</v>
      </c>
      <c r="B2725" t="s">
        <v>302</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97</v>
      </c>
      <c r="B2726" t="s">
        <v>147</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97</v>
      </c>
      <c r="B2727" t="s">
        <v>284</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97</v>
      </c>
      <c r="B2728" t="s">
        <v>299</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97</v>
      </c>
      <c r="B2729" t="s">
        <v>301</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97</v>
      </c>
      <c r="B2730" t="s">
        <v>268</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97</v>
      </c>
      <c r="B2731" t="s">
        <v>290</v>
      </c>
      <c r="C2731">
        <v>0</v>
      </c>
      <c r="D2731">
        <v>1</v>
      </c>
      <c r="E2731">
        <v>2</v>
      </c>
      <c r="F2731">
        <v>214</v>
      </c>
      <c r="G2731">
        <v>217</v>
      </c>
      <c r="H2731">
        <v>2</v>
      </c>
      <c r="I2731">
        <v>1</v>
      </c>
      <c r="J2731">
        <v>8.9972904061745101E-2</v>
      </c>
      <c r="L2731">
        <v>-6.5624935913179798E-3</v>
      </c>
      <c r="M2731">
        <v>1</v>
      </c>
      <c r="O2731">
        <v>-6.5624935913179798E-3</v>
      </c>
    </row>
    <row r="2732" spans="1:15" hidden="1" x14ac:dyDescent="0.3">
      <c r="A2732" t="s">
        <v>97</v>
      </c>
      <c r="B2732" t="s">
        <v>351</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97</v>
      </c>
      <c r="B2733" t="s">
        <v>337</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97</v>
      </c>
      <c r="B2734" t="s">
        <v>250</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97</v>
      </c>
      <c r="B2735" t="s">
        <v>246</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97</v>
      </c>
      <c r="B2736" t="s">
        <v>347</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97</v>
      </c>
      <c r="B2737" t="s">
        <v>283</v>
      </c>
      <c r="C2737">
        <v>0</v>
      </c>
      <c r="D2737">
        <v>1</v>
      </c>
      <c r="E2737">
        <v>2</v>
      </c>
      <c r="F2737">
        <v>214</v>
      </c>
      <c r="G2737">
        <v>217</v>
      </c>
      <c r="H2737">
        <v>2</v>
      </c>
      <c r="I2737">
        <v>1</v>
      </c>
      <c r="J2737">
        <v>8.9972904061745101E-2</v>
      </c>
      <c r="L2737">
        <v>-6.5624935913179798E-3</v>
      </c>
      <c r="M2737">
        <v>1</v>
      </c>
      <c r="O2737">
        <v>-6.5624935913179798E-3</v>
      </c>
    </row>
    <row r="2738" spans="1:15" hidden="1" x14ac:dyDescent="0.3">
      <c r="A2738" t="s">
        <v>97</v>
      </c>
      <c r="B2738" t="s">
        <v>219</v>
      </c>
      <c r="C2738">
        <v>0</v>
      </c>
      <c r="D2738">
        <v>4</v>
      </c>
      <c r="E2738">
        <v>2</v>
      </c>
      <c r="F2738">
        <v>211</v>
      </c>
      <c r="G2738">
        <v>217</v>
      </c>
      <c r="H2738">
        <v>2</v>
      </c>
      <c r="I2738">
        <v>4</v>
      </c>
      <c r="J2738">
        <v>0.17185068465818601</v>
      </c>
      <c r="L2738">
        <v>-1.3217093485861199E-2</v>
      </c>
      <c r="M2738">
        <v>1</v>
      </c>
      <c r="O2738">
        <v>-1.3217093485861199E-2</v>
      </c>
    </row>
    <row r="2739" spans="1:15" hidden="1" x14ac:dyDescent="0.3">
      <c r="A2739" t="s">
        <v>97</v>
      </c>
      <c r="B2739" t="s">
        <v>220</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97</v>
      </c>
      <c r="B2740" t="s">
        <v>201</v>
      </c>
      <c r="C2740">
        <v>0</v>
      </c>
      <c r="D2740">
        <v>4</v>
      </c>
      <c r="E2740">
        <v>2</v>
      </c>
      <c r="F2740">
        <v>211</v>
      </c>
      <c r="G2740">
        <v>217</v>
      </c>
      <c r="H2740">
        <v>2</v>
      </c>
      <c r="I2740">
        <v>4</v>
      </c>
      <c r="J2740">
        <v>0.17185068465818601</v>
      </c>
      <c r="L2740">
        <v>-1.3217093485861199E-2</v>
      </c>
      <c r="M2740">
        <v>1</v>
      </c>
      <c r="O2740">
        <v>-1.3217093485861199E-2</v>
      </c>
    </row>
    <row r="2741" spans="1:15" hidden="1" x14ac:dyDescent="0.3">
      <c r="A2741" t="s">
        <v>97</v>
      </c>
      <c r="B2741" t="s">
        <v>279</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97</v>
      </c>
      <c r="B2742" t="s">
        <v>262</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97</v>
      </c>
      <c r="B2743" t="s">
        <v>321</v>
      </c>
      <c r="C2743">
        <v>0</v>
      </c>
      <c r="D2743">
        <v>1</v>
      </c>
      <c r="E2743">
        <v>2</v>
      </c>
      <c r="F2743">
        <v>214</v>
      </c>
      <c r="G2743">
        <v>217</v>
      </c>
      <c r="H2743">
        <v>2</v>
      </c>
      <c r="I2743">
        <v>1</v>
      </c>
      <c r="J2743">
        <v>8.9972904061745101E-2</v>
      </c>
      <c r="L2743">
        <v>-6.5624935913179798E-3</v>
      </c>
      <c r="M2743">
        <v>1</v>
      </c>
      <c r="O2743">
        <v>-6.5624935913179798E-3</v>
      </c>
    </row>
    <row r="2744" spans="1:15" hidden="1" x14ac:dyDescent="0.3">
      <c r="A2744" t="s">
        <v>97</v>
      </c>
      <c r="B2744" t="s">
        <v>215</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97</v>
      </c>
      <c r="B2745" t="s">
        <v>253</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97</v>
      </c>
      <c r="B2746" t="s">
        <v>341</v>
      </c>
      <c r="C2746">
        <v>0</v>
      </c>
      <c r="D2746">
        <v>1</v>
      </c>
      <c r="E2746">
        <v>2</v>
      </c>
      <c r="F2746">
        <v>214</v>
      </c>
      <c r="G2746">
        <v>217</v>
      </c>
      <c r="H2746">
        <v>2</v>
      </c>
      <c r="I2746">
        <v>1</v>
      </c>
      <c r="J2746">
        <v>8.9972904061745101E-2</v>
      </c>
      <c r="L2746">
        <v>-6.5624935913179798E-3</v>
      </c>
      <c r="M2746">
        <v>1</v>
      </c>
      <c r="O2746">
        <v>-6.5624935913179798E-3</v>
      </c>
    </row>
    <row r="2747" spans="1:15" hidden="1" x14ac:dyDescent="0.3">
      <c r="A2747" t="s">
        <v>97</v>
      </c>
      <c r="B2747" t="s">
        <v>214</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97</v>
      </c>
      <c r="B2748" t="s">
        <v>168</v>
      </c>
      <c r="C2748">
        <v>0</v>
      </c>
      <c r="D2748">
        <v>5</v>
      </c>
      <c r="E2748">
        <v>2</v>
      </c>
      <c r="F2748">
        <v>210</v>
      </c>
      <c r="G2748">
        <v>217</v>
      </c>
      <c r="H2748">
        <v>2</v>
      </c>
      <c r="I2748">
        <v>5</v>
      </c>
      <c r="J2748">
        <v>0.190078954435137</v>
      </c>
      <c r="L2748">
        <v>-1.48119705393753E-2</v>
      </c>
      <c r="M2748">
        <v>1</v>
      </c>
      <c r="O2748">
        <v>-1.48119705393753E-2</v>
      </c>
    </row>
    <row r="2749" spans="1:15" hidden="1" x14ac:dyDescent="0.3">
      <c r="A2749" t="s">
        <v>97</v>
      </c>
      <c r="B2749" t="s">
        <v>352</v>
      </c>
      <c r="C2749">
        <v>0</v>
      </c>
      <c r="D2749">
        <v>1</v>
      </c>
      <c r="E2749">
        <v>2</v>
      </c>
      <c r="F2749">
        <v>214</v>
      </c>
      <c r="G2749">
        <v>217</v>
      </c>
      <c r="H2749">
        <v>2</v>
      </c>
      <c r="I2749">
        <v>1</v>
      </c>
      <c r="J2749">
        <v>8.9972904061745101E-2</v>
      </c>
      <c r="L2749">
        <v>-6.5624935913179798E-3</v>
      </c>
      <c r="M2749">
        <v>1</v>
      </c>
      <c r="O2749">
        <v>-6.5624935913179798E-3</v>
      </c>
    </row>
    <row r="2750" spans="1:15" x14ac:dyDescent="0.3">
      <c r="A2750" t="s">
        <v>97</v>
      </c>
      <c r="B2750" t="s">
        <v>169</v>
      </c>
      <c r="C2750">
        <v>0</v>
      </c>
      <c r="D2750">
        <v>2</v>
      </c>
      <c r="E2750">
        <v>2</v>
      </c>
      <c r="F2750">
        <v>213</v>
      </c>
      <c r="G2750">
        <v>217</v>
      </c>
      <c r="H2750">
        <v>2</v>
      </c>
      <c r="I2750">
        <v>2</v>
      </c>
      <c r="J2750">
        <v>0.124826680957052</v>
      </c>
      <c r="L2750">
        <v>-9.30232558139534E-3</v>
      </c>
      <c r="M2750">
        <v>1</v>
      </c>
      <c r="O2750">
        <v>-9.30232558139534E-3</v>
      </c>
    </row>
    <row r="2751" spans="1:15" x14ac:dyDescent="0.3">
      <c r="A2751" t="s">
        <v>97</v>
      </c>
      <c r="B2751" t="s">
        <v>175</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97</v>
      </c>
      <c r="B2752" t="s">
        <v>340</v>
      </c>
      <c r="C2752">
        <v>0</v>
      </c>
      <c r="D2752">
        <v>1</v>
      </c>
      <c r="E2752">
        <v>2</v>
      </c>
      <c r="F2752">
        <v>214</v>
      </c>
      <c r="G2752">
        <v>217</v>
      </c>
      <c r="H2752">
        <v>2</v>
      </c>
      <c r="I2752">
        <v>1</v>
      </c>
      <c r="J2752">
        <v>8.9972904061745101E-2</v>
      </c>
      <c r="L2752">
        <v>-6.5624935913179798E-3</v>
      </c>
      <c r="M2752">
        <v>1</v>
      </c>
      <c r="O2752">
        <v>-6.5624935913179798E-3</v>
      </c>
    </row>
    <row r="2753" spans="1:15" hidden="1" x14ac:dyDescent="0.3">
      <c r="A2753" t="s">
        <v>97</v>
      </c>
      <c r="B2753" t="s">
        <v>190</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97</v>
      </c>
      <c r="B2754" t="s">
        <v>346</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97</v>
      </c>
      <c r="B2755" t="s">
        <v>309</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97</v>
      </c>
      <c r="B2756" t="s">
        <v>148</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97</v>
      </c>
      <c r="B2757" t="s">
        <v>173</v>
      </c>
      <c r="C2757">
        <v>0</v>
      </c>
      <c r="D2757">
        <v>2</v>
      </c>
      <c r="E2757">
        <v>2</v>
      </c>
      <c r="F2757">
        <v>213</v>
      </c>
      <c r="G2757">
        <v>217</v>
      </c>
      <c r="H2757">
        <v>2</v>
      </c>
      <c r="I2757">
        <v>2</v>
      </c>
      <c r="J2757">
        <v>0.124826680957052</v>
      </c>
      <c r="L2757">
        <v>-9.30232558139534E-3</v>
      </c>
      <c r="M2757">
        <v>1</v>
      </c>
      <c r="O2757">
        <v>-9.30232558139534E-3</v>
      </c>
    </row>
    <row r="2758" spans="1:15" hidden="1" x14ac:dyDescent="0.3">
      <c r="A2758" t="s">
        <v>97</v>
      </c>
      <c r="B2758" t="s">
        <v>217</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97</v>
      </c>
      <c r="B2759" t="s">
        <v>348</v>
      </c>
      <c r="C2759">
        <v>0</v>
      </c>
      <c r="D2759">
        <v>1</v>
      </c>
      <c r="E2759">
        <v>2</v>
      </c>
      <c r="F2759">
        <v>214</v>
      </c>
      <c r="G2759">
        <v>217</v>
      </c>
      <c r="H2759">
        <v>2</v>
      </c>
      <c r="I2759">
        <v>1</v>
      </c>
      <c r="J2759">
        <v>8.9972904061745101E-2</v>
      </c>
      <c r="L2759">
        <v>-6.5624935913179798E-3</v>
      </c>
      <c r="M2759">
        <v>1</v>
      </c>
      <c r="O2759">
        <v>-6.5624935913179798E-3</v>
      </c>
    </row>
    <row r="2760" spans="1:15" hidden="1" x14ac:dyDescent="0.3">
      <c r="A2760" t="s">
        <v>97</v>
      </c>
      <c r="B2760" t="s">
        <v>222</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97</v>
      </c>
      <c r="B2761" t="s">
        <v>269</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97</v>
      </c>
      <c r="B2762" t="s">
        <v>349</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97</v>
      </c>
      <c r="B2763" t="s">
        <v>274</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97</v>
      </c>
      <c r="B2764" t="s">
        <v>316</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97</v>
      </c>
      <c r="B2765" t="s">
        <v>350</v>
      </c>
      <c r="C2765">
        <v>0</v>
      </c>
      <c r="D2765">
        <v>1</v>
      </c>
      <c r="E2765">
        <v>2</v>
      </c>
      <c r="F2765">
        <v>214</v>
      </c>
      <c r="G2765">
        <v>217</v>
      </c>
      <c r="H2765">
        <v>2</v>
      </c>
      <c r="I2765">
        <v>1</v>
      </c>
      <c r="J2765">
        <v>8.9972904061745101E-2</v>
      </c>
      <c r="L2765">
        <v>-6.5624935913179798E-3</v>
      </c>
      <c r="M2765">
        <v>1</v>
      </c>
      <c r="O2765">
        <v>-6.5624935913179798E-3</v>
      </c>
    </row>
    <row r="2766" spans="1:15" hidden="1" x14ac:dyDescent="0.3">
      <c r="A2766" t="s">
        <v>97</v>
      </c>
      <c r="B2766" t="s">
        <v>218</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97</v>
      </c>
      <c r="B2767" t="s">
        <v>261</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97</v>
      </c>
      <c r="B2768" t="s">
        <v>277</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97</v>
      </c>
      <c r="B2769" t="s">
        <v>251</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97</v>
      </c>
      <c r="B2770" t="s">
        <v>259</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97</v>
      </c>
      <c r="B2771" t="s">
        <v>329</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97</v>
      </c>
      <c r="B2772" t="s">
        <v>360</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97</v>
      </c>
      <c r="B2773" t="s">
        <v>358</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97</v>
      </c>
      <c r="B2774" t="s">
        <v>312</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97</v>
      </c>
      <c r="B2775" t="s">
        <v>361</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97</v>
      </c>
      <c r="B2776" t="s">
        <v>288</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97</v>
      </c>
      <c r="B2777" t="s">
        <v>306</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97</v>
      </c>
      <c r="B2778" t="s">
        <v>345</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97</v>
      </c>
      <c r="B2779" t="s">
        <v>338</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97</v>
      </c>
      <c r="B2780" t="s">
        <v>267</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97</v>
      </c>
      <c r="B2781" t="s">
        <v>194</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97</v>
      </c>
      <c r="B2782" t="s">
        <v>328</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97</v>
      </c>
      <c r="B2783" t="s">
        <v>293</v>
      </c>
      <c r="C2783">
        <v>0</v>
      </c>
      <c r="D2783">
        <v>2</v>
      </c>
      <c r="E2783">
        <v>2</v>
      </c>
      <c r="F2783">
        <v>213</v>
      </c>
      <c r="G2783">
        <v>217</v>
      </c>
      <c r="H2783">
        <v>2</v>
      </c>
      <c r="I2783">
        <v>2</v>
      </c>
      <c r="J2783">
        <v>0.124826680957052</v>
      </c>
      <c r="L2783">
        <v>-9.30232558139534E-3</v>
      </c>
      <c r="M2783">
        <v>1</v>
      </c>
      <c r="O2783">
        <v>-9.30232558139534E-3</v>
      </c>
    </row>
    <row r="2784" spans="1:15" hidden="1" x14ac:dyDescent="0.3">
      <c r="A2784" t="s">
        <v>97</v>
      </c>
      <c r="B2784" t="s">
        <v>216</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97</v>
      </c>
      <c r="B2785" t="s">
        <v>297</v>
      </c>
      <c r="C2785">
        <v>0</v>
      </c>
      <c r="D2785">
        <v>1</v>
      </c>
      <c r="E2785">
        <v>2</v>
      </c>
      <c r="F2785">
        <v>214</v>
      </c>
      <c r="G2785">
        <v>217</v>
      </c>
      <c r="H2785">
        <v>2</v>
      </c>
      <c r="I2785">
        <v>1</v>
      </c>
      <c r="J2785">
        <v>8.9972904061745101E-2</v>
      </c>
      <c r="L2785">
        <v>-6.5624935913179798E-3</v>
      </c>
      <c r="M2785">
        <v>1</v>
      </c>
      <c r="O2785">
        <v>-6.5624935913179798E-3</v>
      </c>
    </row>
    <row r="2786" spans="1:15" hidden="1" x14ac:dyDescent="0.3">
      <c r="A2786" t="s">
        <v>97</v>
      </c>
      <c r="B2786" t="s">
        <v>264</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97</v>
      </c>
      <c r="B2787" t="s">
        <v>359</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97</v>
      </c>
      <c r="B2788" t="s">
        <v>313</v>
      </c>
      <c r="C2788">
        <v>0</v>
      </c>
      <c r="D2788">
        <v>1</v>
      </c>
      <c r="E2788">
        <v>2</v>
      </c>
      <c r="F2788">
        <v>214</v>
      </c>
      <c r="G2788">
        <v>217</v>
      </c>
      <c r="H2788">
        <v>2</v>
      </c>
      <c r="I2788">
        <v>1</v>
      </c>
      <c r="J2788">
        <v>8.9972904061745101E-2</v>
      </c>
      <c r="L2788">
        <v>-6.5624935913179798E-3</v>
      </c>
      <c r="M2788">
        <v>1</v>
      </c>
      <c r="O2788">
        <v>-6.5624935913179798E-3</v>
      </c>
    </row>
    <row r="2789" spans="1:15" hidden="1" x14ac:dyDescent="0.3">
      <c r="A2789" t="s">
        <v>97</v>
      </c>
      <c r="B2789" t="s">
        <v>331</v>
      </c>
      <c r="C2789">
        <v>0</v>
      </c>
      <c r="D2789">
        <v>2</v>
      </c>
      <c r="E2789">
        <v>2</v>
      </c>
      <c r="F2789">
        <v>213</v>
      </c>
      <c r="G2789">
        <v>217</v>
      </c>
      <c r="H2789">
        <v>2</v>
      </c>
      <c r="I2789">
        <v>2</v>
      </c>
      <c r="J2789">
        <v>0.124826680957052</v>
      </c>
      <c r="L2789">
        <v>-9.30232558139534E-3</v>
      </c>
      <c r="M2789">
        <v>1</v>
      </c>
      <c r="O2789">
        <v>-9.30232558139534E-3</v>
      </c>
    </row>
    <row r="2790" spans="1:15" hidden="1" x14ac:dyDescent="0.3">
      <c r="A2790" t="s">
        <v>97</v>
      </c>
      <c r="B2790" t="s">
        <v>285</v>
      </c>
      <c r="C2790">
        <v>0</v>
      </c>
      <c r="D2790">
        <v>1</v>
      </c>
      <c r="E2790">
        <v>2</v>
      </c>
      <c r="F2790">
        <v>214</v>
      </c>
      <c r="G2790">
        <v>217</v>
      </c>
      <c r="H2790">
        <v>2</v>
      </c>
      <c r="I2790">
        <v>1</v>
      </c>
      <c r="J2790">
        <v>8.9972904061745101E-2</v>
      </c>
      <c r="L2790">
        <v>-6.5624935913179798E-3</v>
      </c>
      <c r="M2790">
        <v>1</v>
      </c>
      <c r="O2790">
        <v>-6.5624935913179798E-3</v>
      </c>
    </row>
    <row r="2791" spans="1:15" x14ac:dyDescent="0.3">
      <c r="A2791" t="s">
        <v>97</v>
      </c>
      <c r="B2791" t="s">
        <v>152</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97</v>
      </c>
      <c r="B2792" t="s">
        <v>311</v>
      </c>
      <c r="C2792">
        <v>0</v>
      </c>
      <c r="D2792">
        <v>1</v>
      </c>
      <c r="E2792">
        <v>2</v>
      </c>
      <c r="F2792">
        <v>214</v>
      </c>
      <c r="G2792">
        <v>217</v>
      </c>
      <c r="H2792">
        <v>2</v>
      </c>
      <c r="I2792">
        <v>1</v>
      </c>
      <c r="J2792">
        <v>8.9972904061745101E-2</v>
      </c>
      <c r="L2792">
        <v>-6.5624935913179798E-3</v>
      </c>
      <c r="M2792">
        <v>1</v>
      </c>
      <c r="O2792">
        <v>-6.5624935913179798E-3</v>
      </c>
    </row>
    <row r="2793" spans="1:15" hidden="1" x14ac:dyDescent="0.3">
      <c r="A2793" t="s">
        <v>97</v>
      </c>
      <c r="B2793" t="s">
        <v>213</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97</v>
      </c>
      <c r="B2794" t="s">
        <v>330</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97</v>
      </c>
      <c r="B2795" t="s">
        <v>252</v>
      </c>
      <c r="C2795">
        <v>0</v>
      </c>
      <c r="D2795">
        <v>3</v>
      </c>
      <c r="E2795">
        <v>2</v>
      </c>
      <c r="F2795">
        <v>212</v>
      </c>
      <c r="G2795">
        <v>217</v>
      </c>
      <c r="H2795">
        <v>2</v>
      </c>
      <c r="I2795">
        <v>3</v>
      </c>
      <c r="J2795">
        <v>0.15066306992548201</v>
      </c>
      <c r="L2795">
        <v>-1.14195636249397E-2</v>
      </c>
      <c r="M2795">
        <v>1</v>
      </c>
      <c r="O2795">
        <v>-1.14195636249397E-2</v>
      </c>
    </row>
    <row r="2796" spans="1:15" x14ac:dyDescent="0.3">
      <c r="A2796" t="s">
        <v>97</v>
      </c>
      <c r="B2796" t="s">
        <v>170</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97</v>
      </c>
      <c r="B2797" t="s">
        <v>324</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97</v>
      </c>
      <c r="B2798" t="s">
        <v>278</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97</v>
      </c>
      <c r="B2799" t="s">
        <v>292</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97</v>
      </c>
      <c r="B2800" t="s">
        <v>172</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97</v>
      </c>
      <c r="B2801" t="s">
        <v>323</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97</v>
      </c>
      <c r="B2802" t="s">
        <v>326</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97</v>
      </c>
      <c r="B2803" t="s">
        <v>325</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97</v>
      </c>
      <c r="B2804" t="s">
        <v>256</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97</v>
      </c>
      <c r="B2805" t="s">
        <v>243</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97</v>
      </c>
      <c r="B2806" t="s">
        <v>327</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97</v>
      </c>
      <c r="B2807" t="s">
        <v>174</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97</v>
      </c>
      <c r="B2808" t="s">
        <v>260</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97</v>
      </c>
      <c r="B2809" t="s">
        <v>280</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97</v>
      </c>
      <c r="B2810" t="s">
        <v>318</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97</v>
      </c>
      <c r="B2811" t="s">
        <v>244</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97</v>
      </c>
      <c r="B2812" t="s">
        <v>336</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97</v>
      </c>
      <c r="B2813" t="s">
        <v>304</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97</v>
      </c>
      <c r="B2814" t="s">
        <v>270</v>
      </c>
      <c r="C2814">
        <v>0</v>
      </c>
      <c r="D2814">
        <v>3</v>
      </c>
      <c r="E2814">
        <v>2</v>
      </c>
      <c r="F2814">
        <v>212</v>
      </c>
      <c r="G2814">
        <v>217</v>
      </c>
      <c r="H2814">
        <v>2</v>
      </c>
      <c r="I2814">
        <v>3</v>
      </c>
      <c r="J2814">
        <v>0.15066306992548201</v>
      </c>
      <c r="L2814">
        <v>-1.14195636249397E-2</v>
      </c>
      <c r="M2814">
        <v>1</v>
      </c>
      <c r="O2814">
        <v>-1.14195636249397E-2</v>
      </c>
    </row>
    <row r="2815" spans="1:15" x14ac:dyDescent="0.3">
      <c r="A2815" t="s">
        <v>97</v>
      </c>
      <c r="B2815" t="s">
        <v>257</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97</v>
      </c>
      <c r="B2816" t="s">
        <v>307</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97</v>
      </c>
      <c r="B2817" t="s">
        <v>286</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97</v>
      </c>
      <c r="B2818" t="s">
        <v>198</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97</v>
      </c>
      <c r="B2819" t="s">
        <v>289</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97</v>
      </c>
      <c r="B2820" t="s">
        <v>282</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97</v>
      </c>
      <c r="B2821" t="s">
        <v>291</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99</v>
      </c>
      <c r="B2822" t="s">
        <v>3</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99</v>
      </c>
      <c r="B2823" t="s">
        <v>1</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99</v>
      </c>
      <c r="B2824" t="s">
        <v>314</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99</v>
      </c>
      <c r="B2825" t="s">
        <v>357</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99</v>
      </c>
      <c r="B2826" t="s">
        <v>356</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99</v>
      </c>
      <c r="B2827" t="s">
        <v>273</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99</v>
      </c>
      <c r="B2828" t="s">
        <v>242</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99</v>
      </c>
      <c r="B2829" t="s">
        <v>332</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99</v>
      </c>
      <c r="B2830" t="s">
        <v>355</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99</v>
      </c>
      <c r="B2831" t="s">
        <v>335</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99</v>
      </c>
      <c r="B2832" t="s">
        <v>266</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99</v>
      </c>
      <c r="B2833" t="s">
        <v>272</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99</v>
      </c>
      <c r="B2834" t="s">
        <v>310</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99</v>
      </c>
      <c r="B2835" t="s">
        <v>317</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99</v>
      </c>
      <c r="B2836" t="s">
        <v>9</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99</v>
      </c>
      <c r="B2837" t="s">
        <v>362</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99</v>
      </c>
      <c r="B2838" t="s">
        <v>354</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99</v>
      </c>
      <c r="B2839" t="s">
        <v>353</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99</v>
      </c>
      <c r="B2840" t="s">
        <v>363</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99</v>
      </c>
      <c r="B2841" t="s">
        <v>305</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99</v>
      </c>
      <c r="B2842" t="s">
        <v>339</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99</v>
      </c>
      <c r="B2843" t="s">
        <v>248</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99</v>
      </c>
      <c r="B2844" t="s">
        <v>342</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99</v>
      </c>
      <c r="B2845" t="s">
        <v>315</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99</v>
      </c>
      <c r="B2846" t="s">
        <v>247</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99</v>
      </c>
      <c r="B2847" t="s">
        <v>241</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99</v>
      </c>
      <c r="B2848" t="s">
        <v>334</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99</v>
      </c>
      <c r="B2849" t="s">
        <v>300</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99</v>
      </c>
      <c r="B2850" t="s">
        <v>265</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99</v>
      </c>
      <c r="B2851" t="s">
        <v>271</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99</v>
      </c>
      <c r="B2852" t="s">
        <v>255</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99</v>
      </c>
      <c r="B2853" t="s">
        <v>296</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99</v>
      </c>
      <c r="B2854" t="s">
        <v>249</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99</v>
      </c>
      <c r="B2855" t="s">
        <v>308</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99</v>
      </c>
      <c r="B2856" t="s">
        <v>319</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99</v>
      </c>
      <c r="B2857" t="s">
        <v>245</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99</v>
      </c>
      <c r="B2858" t="s">
        <v>240</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99</v>
      </c>
      <c r="B2859" t="s">
        <v>343</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99</v>
      </c>
      <c r="B2860" t="s">
        <v>258</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99</v>
      </c>
      <c r="B2861" t="s">
        <v>344</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99</v>
      </c>
      <c r="B2862" t="s">
        <v>276</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99</v>
      </c>
      <c r="B2863" t="s">
        <v>333</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99</v>
      </c>
      <c r="B2864" t="s">
        <v>263</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99</v>
      </c>
      <c r="B2865" t="s">
        <v>254</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99</v>
      </c>
      <c r="B2866" t="s">
        <v>320</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99</v>
      </c>
      <c r="B2867" t="s">
        <v>275</v>
      </c>
      <c r="C2867">
        <v>0</v>
      </c>
      <c r="D2867">
        <v>11</v>
      </c>
      <c r="E2867">
        <v>1</v>
      </c>
      <c r="F2867">
        <v>205</v>
      </c>
      <c r="G2867">
        <v>217</v>
      </c>
      <c r="H2867">
        <v>1</v>
      </c>
      <c r="I2867">
        <v>11</v>
      </c>
      <c r="J2867">
        <v>0.19837015644199599</v>
      </c>
      <c r="L2867">
        <v>-1.5723016016341299E-2</v>
      </c>
      <c r="M2867">
        <v>1</v>
      </c>
      <c r="O2867">
        <v>-1.5723016016341299E-2</v>
      </c>
    </row>
    <row r="2868" spans="1:15" hidden="1" x14ac:dyDescent="0.3">
      <c r="A2868" t="s">
        <v>99</v>
      </c>
      <c r="B2868" t="s">
        <v>221</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99</v>
      </c>
      <c r="B2869" t="s">
        <v>322</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99</v>
      </c>
      <c r="B2870" t="s">
        <v>303</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99</v>
      </c>
      <c r="B2871" t="s">
        <v>302</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99</v>
      </c>
      <c r="B2872" t="s">
        <v>147</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99</v>
      </c>
      <c r="B2873" t="s">
        <v>284</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99</v>
      </c>
      <c r="B2874" t="s">
        <v>299</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99</v>
      </c>
      <c r="B2875" t="s">
        <v>301</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99</v>
      </c>
      <c r="B2876" t="s">
        <v>268</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99</v>
      </c>
      <c r="B2877" t="s">
        <v>290</v>
      </c>
      <c r="C2877">
        <v>0</v>
      </c>
      <c r="D2877">
        <v>1</v>
      </c>
      <c r="E2877">
        <v>1</v>
      </c>
      <c r="F2877">
        <v>215</v>
      </c>
      <c r="G2877">
        <v>217</v>
      </c>
      <c r="H2877">
        <v>1</v>
      </c>
      <c r="I2877">
        <v>1</v>
      </c>
      <c r="J2877">
        <v>6.4493014968382195E-2</v>
      </c>
      <c r="L2877">
        <v>-4.6296296296296198E-3</v>
      </c>
      <c r="M2877">
        <v>1</v>
      </c>
      <c r="O2877">
        <v>-4.6296296296296198E-3</v>
      </c>
    </row>
    <row r="2878" spans="1:15" hidden="1" x14ac:dyDescent="0.3">
      <c r="A2878" t="s">
        <v>99</v>
      </c>
      <c r="B2878" t="s">
        <v>351</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99</v>
      </c>
      <c r="B2879" t="s">
        <v>337</v>
      </c>
      <c r="C2879">
        <v>0</v>
      </c>
      <c r="D2879">
        <v>3</v>
      </c>
      <c r="E2879">
        <v>1</v>
      </c>
      <c r="F2879">
        <v>213</v>
      </c>
      <c r="G2879">
        <v>217</v>
      </c>
      <c r="H2879">
        <v>1</v>
      </c>
      <c r="I2879">
        <v>3</v>
      </c>
      <c r="J2879">
        <v>0.109052747711589</v>
      </c>
      <c r="L2879">
        <v>-8.0561374087138593E-3</v>
      </c>
      <c r="M2879">
        <v>1</v>
      </c>
      <c r="O2879">
        <v>-8.0561374087138593E-3</v>
      </c>
    </row>
    <row r="2880" spans="1:15" hidden="1" x14ac:dyDescent="0.3">
      <c r="A2880" t="s">
        <v>99</v>
      </c>
      <c r="B2880" t="s">
        <v>212</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99</v>
      </c>
      <c r="B2881" t="s">
        <v>250</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99</v>
      </c>
      <c r="B2882" t="s">
        <v>246</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99</v>
      </c>
      <c r="B2883" t="s">
        <v>347</v>
      </c>
      <c r="C2883">
        <v>0</v>
      </c>
      <c r="D2883">
        <v>1</v>
      </c>
      <c r="E2883">
        <v>1</v>
      </c>
      <c r="F2883">
        <v>215</v>
      </c>
      <c r="G2883">
        <v>217</v>
      </c>
      <c r="H2883">
        <v>1</v>
      </c>
      <c r="I2883">
        <v>1</v>
      </c>
      <c r="J2883">
        <v>6.4493014968382195E-2</v>
      </c>
      <c r="L2883">
        <v>-4.6296296296296198E-3</v>
      </c>
      <c r="M2883">
        <v>1</v>
      </c>
      <c r="O2883">
        <v>-4.6296296296296198E-3</v>
      </c>
    </row>
    <row r="2884" spans="1:15" hidden="1" x14ac:dyDescent="0.3">
      <c r="A2884" t="s">
        <v>99</v>
      </c>
      <c r="B2884" t="s">
        <v>153</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99</v>
      </c>
      <c r="B2885" t="s">
        <v>283</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99</v>
      </c>
      <c r="B2886" t="s">
        <v>5</v>
      </c>
      <c r="C2886">
        <v>1</v>
      </c>
      <c r="D2886">
        <v>2</v>
      </c>
      <c r="E2886">
        <v>0</v>
      </c>
      <c r="F2886">
        <v>214</v>
      </c>
      <c r="G2886">
        <v>217</v>
      </c>
      <c r="H2886">
        <v>1</v>
      </c>
      <c r="I2886">
        <v>3</v>
      </c>
      <c r="J2886">
        <v>0.109052747711589</v>
      </c>
      <c r="L2886">
        <v>0.57467113515492196</v>
      </c>
      <c r="M2886">
        <v>1.3824884792626699E-2</v>
      </c>
      <c r="O2886">
        <v>0.57467113515492196</v>
      </c>
    </row>
    <row r="2887" spans="1:15" hidden="1" x14ac:dyDescent="0.3">
      <c r="A2887" t="s">
        <v>99</v>
      </c>
      <c r="B2887" t="s">
        <v>219</v>
      </c>
      <c r="C2887">
        <v>0</v>
      </c>
      <c r="D2887">
        <v>4</v>
      </c>
      <c r="E2887">
        <v>1</v>
      </c>
      <c r="F2887">
        <v>212</v>
      </c>
      <c r="G2887">
        <v>217</v>
      </c>
      <c r="H2887">
        <v>1</v>
      </c>
      <c r="I2887">
        <v>4</v>
      </c>
      <c r="J2887">
        <v>0.124826680957052</v>
      </c>
      <c r="L2887">
        <v>-9.3242373144076501E-3</v>
      </c>
      <c r="M2887">
        <v>1</v>
      </c>
      <c r="O2887">
        <v>-9.3242373144076501E-3</v>
      </c>
    </row>
    <row r="2888" spans="1:15" hidden="1" x14ac:dyDescent="0.3">
      <c r="A2888" t="s">
        <v>99</v>
      </c>
      <c r="B2888" t="s">
        <v>220</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99</v>
      </c>
      <c r="B2889" t="s">
        <v>201</v>
      </c>
      <c r="C2889">
        <v>0</v>
      </c>
      <c r="D2889">
        <v>4</v>
      </c>
      <c r="E2889">
        <v>1</v>
      </c>
      <c r="F2889">
        <v>212</v>
      </c>
      <c r="G2889">
        <v>217</v>
      </c>
      <c r="H2889">
        <v>1</v>
      </c>
      <c r="I2889">
        <v>4</v>
      </c>
      <c r="J2889">
        <v>0.124826680957052</v>
      </c>
      <c r="L2889">
        <v>-9.3242373144076501E-3</v>
      </c>
      <c r="M2889">
        <v>1</v>
      </c>
      <c r="O2889">
        <v>-9.3242373144076501E-3</v>
      </c>
    </row>
    <row r="2890" spans="1:15" hidden="1" x14ac:dyDescent="0.3">
      <c r="A2890" t="s">
        <v>99</v>
      </c>
      <c r="B2890" t="s">
        <v>279</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99</v>
      </c>
      <c r="B2891" t="s">
        <v>262</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99</v>
      </c>
      <c r="B2892" t="s">
        <v>321</v>
      </c>
      <c r="C2892">
        <v>0</v>
      </c>
      <c r="D2892">
        <v>1</v>
      </c>
      <c r="E2892">
        <v>1</v>
      </c>
      <c r="F2892">
        <v>215</v>
      </c>
      <c r="G2892">
        <v>217</v>
      </c>
      <c r="H2892">
        <v>1</v>
      </c>
      <c r="I2892">
        <v>1</v>
      </c>
      <c r="J2892">
        <v>6.4493014968382195E-2</v>
      </c>
      <c r="L2892">
        <v>-4.6296296296296198E-3</v>
      </c>
      <c r="M2892">
        <v>1</v>
      </c>
      <c r="O2892">
        <v>-4.6296296296296198E-3</v>
      </c>
    </row>
    <row r="2893" spans="1:15" hidden="1" x14ac:dyDescent="0.3">
      <c r="A2893" t="s">
        <v>99</v>
      </c>
      <c r="B2893" t="s">
        <v>215</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99</v>
      </c>
      <c r="B2894" t="s">
        <v>253</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99</v>
      </c>
      <c r="B2895" t="s">
        <v>341</v>
      </c>
      <c r="C2895">
        <v>0</v>
      </c>
      <c r="D2895">
        <v>1</v>
      </c>
      <c r="E2895">
        <v>1</v>
      </c>
      <c r="F2895">
        <v>215</v>
      </c>
      <c r="G2895">
        <v>217</v>
      </c>
      <c r="H2895">
        <v>1</v>
      </c>
      <c r="I2895">
        <v>1</v>
      </c>
      <c r="J2895">
        <v>6.4493014968382195E-2</v>
      </c>
      <c r="L2895">
        <v>-4.6296296296296198E-3</v>
      </c>
      <c r="M2895">
        <v>1</v>
      </c>
      <c r="O2895">
        <v>-4.6296296296296198E-3</v>
      </c>
    </row>
    <row r="2896" spans="1:15" hidden="1" x14ac:dyDescent="0.3">
      <c r="A2896" t="s">
        <v>99</v>
      </c>
      <c r="B2896" t="s">
        <v>214</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99</v>
      </c>
      <c r="B2897" t="s">
        <v>168</v>
      </c>
      <c r="C2897">
        <v>0</v>
      </c>
      <c r="D2897">
        <v>5</v>
      </c>
      <c r="E2897">
        <v>1</v>
      </c>
      <c r="F2897">
        <v>211</v>
      </c>
      <c r="G2897">
        <v>217</v>
      </c>
      <c r="H2897">
        <v>1</v>
      </c>
      <c r="I2897">
        <v>5</v>
      </c>
      <c r="J2897">
        <v>0.138492225345964</v>
      </c>
      <c r="L2897">
        <v>-1.0449372136989901E-2</v>
      </c>
      <c r="M2897">
        <v>1</v>
      </c>
      <c r="O2897">
        <v>-1.0449372136989901E-2</v>
      </c>
    </row>
    <row r="2898" spans="1:15" hidden="1" x14ac:dyDescent="0.3">
      <c r="A2898" t="s">
        <v>99</v>
      </c>
      <c r="B2898" t="s">
        <v>352</v>
      </c>
      <c r="C2898">
        <v>0</v>
      </c>
      <c r="D2898">
        <v>1</v>
      </c>
      <c r="E2898">
        <v>1</v>
      </c>
      <c r="F2898">
        <v>215</v>
      </c>
      <c r="G2898">
        <v>217</v>
      </c>
      <c r="H2898">
        <v>1</v>
      </c>
      <c r="I2898">
        <v>1</v>
      </c>
      <c r="J2898">
        <v>6.4493014968382195E-2</v>
      </c>
      <c r="L2898">
        <v>-4.6296296296296198E-3</v>
      </c>
      <c r="M2898">
        <v>1</v>
      </c>
      <c r="O2898">
        <v>-4.6296296296296198E-3</v>
      </c>
    </row>
    <row r="2899" spans="1:15" x14ac:dyDescent="0.3">
      <c r="A2899" t="s">
        <v>99</v>
      </c>
      <c r="B2899" t="s">
        <v>169</v>
      </c>
      <c r="C2899">
        <v>0</v>
      </c>
      <c r="D2899">
        <v>2</v>
      </c>
      <c r="E2899">
        <v>1</v>
      </c>
      <c r="F2899">
        <v>214</v>
      </c>
      <c r="G2899">
        <v>217</v>
      </c>
      <c r="H2899">
        <v>1</v>
      </c>
      <c r="I2899">
        <v>2</v>
      </c>
      <c r="J2899">
        <v>8.9972904061745101E-2</v>
      </c>
      <c r="L2899">
        <v>-6.5624935913179798E-3</v>
      </c>
      <c r="M2899">
        <v>1</v>
      </c>
      <c r="O2899">
        <v>-6.5624935913179798E-3</v>
      </c>
    </row>
    <row r="2900" spans="1:15" x14ac:dyDescent="0.3">
      <c r="A2900" t="s">
        <v>99</v>
      </c>
      <c r="B2900" t="s">
        <v>175</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99</v>
      </c>
      <c r="B2901" t="s">
        <v>340</v>
      </c>
      <c r="C2901">
        <v>0</v>
      </c>
      <c r="D2901">
        <v>1</v>
      </c>
      <c r="E2901">
        <v>1</v>
      </c>
      <c r="F2901">
        <v>215</v>
      </c>
      <c r="G2901">
        <v>217</v>
      </c>
      <c r="H2901">
        <v>1</v>
      </c>
      <c r="I2901">
        <v>1</v>
      </c>
      <c r="J2901">
        <v>6.4493014968382195E-2</v>
      </c>
      <c r="L2901">
        <v>-4.6296296296296198E-3</v>
      </c>
      <c r="M2901">
        <v>1</v>
      </c>
      <c r="O2901">
        <v>-4.6296296296296198E-3</v>
      </c>
    </row>
    <row r="2902" spans="1:15" hidden="1" x14ac:dyDescent="0.3">
      <c r="A2902" t="s">
        <v>99</v>
      </c>
      <c r="B2902" t="s">
        <v>190</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99</v>
      </c>
      <c r="B2903" t="s">
        <v>346</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99</v>
      </c>
      <c r="B2904" t="s">
        <v>309</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99</v>
      </c>
      <c r="B2905" t="s">
        <v>148</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99</v>
      </c>
      <c r="B2906" t="s">
        <v>173</v>
      </c>
      <c r="C2906">
        <v>0</v>
      </c>
      <c r="D2906">
        <v>2</v>
      </c>
      <c r="E2906">
        <v>1</v>
      </c>
      <c r="F2906">
        <v>214</v>
      </c>
      <c r="G2906">
        <v>217</v>
      </c>
      <c r="H2906">
        <v>1</v>
      </c>
      <c r="I2906">
        <v>2</v>
      </c>
      <c r="J2906">
        <v>8.9972904061745101E-2</v>
      </c>
      <c r="L2906">
        <v>-6.5624935913179798E-3</v>
      </c>
      <c r="M2906">
        <v>1</v>
      </c>
      <c r="O2906">
        <v>-6.5624935913179798E-3</v>
      </c>
    </row>
    <row r="2907" spans="1:15" hidden="1" x14ac:dyDescent="0.3">
      <c r="A2907" t="s">
        <v>99</v>
      </c>
      <c r="B2907" t="s">
        <v>217</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99</v>
      </c>
      <c r="B2908" t="s">
        <v>348</v>
      </c>
      <c r="C2908">
        <v>0</v>
      </c>
      <c r="D2908">
        <v>1</v>
      </c>
      <c r="E2908">
        <v>1</v>
      </c>
      <c r="F2908">
        <v>215</v>
      </c>
      <c r="G2908">
        <v>217</v>
      </c>
      <c r="H2908">
        <v>1</v>
      </c>
      <c r="I2908">
        <v>1</v>
      </c>
      <c r="J2908">
        <v>6.4493014968382195E-2</v>
      </c>
      <c r="L2908">
        <v>-4.6296296296296198E-3</v>
      </c>
      <c r="M2908">
        <v>1</v>
      </c>
      <c r="O2908">
        <v>-4.6296296296296198E-3</v>
      </c>
    </row>
    <row r="2909" spans="1:15" hidden="1" x14ac:dyDescent="0.3">
      <c r="A2909" t="s">
        <v>99</v>
      </c>
      <c r="B2909" t="s">
        <v>222</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99</v>
      </c>
      <c r="B2910" t="s">
        <v>269</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99</v>
      </c>
      <c r="B2911" t="s">
        <v>349</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99</v>
      </c>
      <c r="B2912" t="s">
        <v>274</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99</v>
      </c>
      <c r="B2913" t="s">
        <v>316</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99</v>
      </c>
      <c r="B2914" t="s">
        <v>350</v>
      </c>
      <c r="C2914">
        <v>0</v>
      </c>
      <c r="D2914">
        <v>1</v>
      </c>
      <c r="E2914">
        <v>1</v>
      </c>
      <c r="F2914">
        <v>215</v>
      </c>
      <c r="G2914">
        <v>217</v>
      </c>
      <c r="H2914">
        <v>1</v>
      </c>
      <c r="I2914">
        <v>1</v>
      </c>
      <c r="J2914">
        <v>6.4493014968382195E-2</v>
      </c>
      <c r="L2914">
        <v>-4.6296296296296198E-3</v>
      </c>
      <c r="M2914">
        <v>1</v>
      </c>
      <c r="O2914">
        <v>-4.6296296296296198E-3</v>
      </c>
    </row>
    <row r="2915" spans="1:15" hidden="1" x14ac:dyDescent="0.3">
      <c r="A2915" t="s">
        <v>99</v>
      </c>
      <c r="B2915" t="s">
        <v>218</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99</v>
      </c>
      <c r="B2916" t="s">
        <v>261</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99</v>
      </c>
      <c r="B2917" t="s">
        <v>277</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99</v>
      </c>
      <c r="B2918" t="s">
        <v>251</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99</v>
      </c>
      <c r="B2919" t="s">
        <v>259</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99</v>
      </c>
      <c r="B2920" t="s">
        <v>329</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99</v>
      </c>
      <c r="B2921" t="s">
        <v>360</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99</v>
      </c>
      <c r="B2922" t="s">
        <v>358</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99</v>
      </c>
      <c r="B2923" t="s">
        <v>312</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99</v>
      </c>
      <c r="B2924" t="s">
        <v>361</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99</v>
      </c>
      <c r="B2925" t="s">
        <v>288</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99</v>
      </c>
      <c r="B2926" t="s">
        <v>306</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99</v>
      </c>
      <c r="B2927" t="s">
        <v>345</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99</v>
      </c>
      <c r="B2928" t="s">
        <v>338</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99</v>
      </c>
      <c r="B2929" t="s">
        <v>267</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99</v>
      </c>
      <c r="B2930" t="s">
        <v>194</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99</v>
      </c>
      <c r="B2931" t="s">
        <v>328</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99</v>
      </c>
      <c r="B2932" t="s">
        <v>293</v>
      </c>
      <c r="C2932">
        <v>0</v>
      </c>
      <c r="D2932">
        <v>2</v>
      </c>
      <c r="E2932">
        <v>1</v>
      </c>
      <c r="F2932">
        <v>214</v>
      </c>
      <c r="G2932">
        <v>217</v>
      </c>
      <c r="H2932">
        <v>1</v>
      </c>
      <c r="I2932">
        <v>2</v>
      </c>
      <c r="J2932">
        <v>8.9972904061745101E-2</v>
      </c>
      <c r="L2932">
        <v>-6.5624935913179798E-3</v>
      </c>
      <c r="M2932">
        <v>1</v>
      </c>
      <c r="O2932">
        <v>-6.5624935913179798E-3</v>
      </c>
    </row>
    <row r="2933" spans="1:15" hidden="1" x14ac:dyDescent="0.3">
      <c r="A2933" t="s">
        <v>99</v>
      </c>
      <c r="B2933" t="s">
        <v>216</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99</v>
      </c>
      <c r="B2934" t="s">
        <v>297</v>
      </c>
      <c r="C2934">
        <v>0</v>
      </c>
      <c r="D2934">
        <v>1</v>
      </c>
      <c r="E2934">
        <v>1</v>
      </c>
      <c r="F2934">
        <v>215</v>
      </c>
      <c r="G2934">
        <v>217</v>
      </c>
      <c r="H2934">
        <v>1</v>
      </c>
      <c r="I2934">
        <v>1</v>
      </c>
      <c r="J2934">
        <v>6.4493014968382195E-2</v>
      </c>
      <c r="L2934">
        <v>-4.6296296296296198E-3</v>
      </c>
      <c r="M2934">
        <v>1</v>
      </c>
      <c r="O2934">
        <v>-4.6296296296296198E-3</v>
      </c>
    </row>
    <row r="2935" spans="1:15" hidden="1" x14ac:dyDescent="0.3">
      <c r="A2935" t="s">
        <v>99</v>
      </c>
      <c r="B2935" t="s">
        <v>264</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99</v>
      </c>
      <c r="B2936" t="s">
        <v>359</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99</v>
      </c>
      <c r="B2937" t="s">
        <v>313</v>
      </c>
      <c r="C2937">
        <v>0</v>
      </c>
      <c r="D2937">
        <v>1</v>
      </c>
      <c r="E2937">
        <v>1</v>
      </c>
      <c r="F2937">
        <v>215</v>
      </c>
      <c r="G2937">
        <v>217</v>
      </c>
      <c r="H2937">
        <v>1</v>
      </c>
      <c r="I2937">
        <v>1</v>
      </c>
      <c r="J2937">
        <v>6.4493014968382195E-2</v>
      </c>
      <c r="L2937">
        <v>-4.6296296296296198E-3</v>
      </c>
      <c r="M2937">
        <v>1</v>
      </c>
      <c r="O2937">
        <v>-4.6296296296296198E-3</v>
      </c>
    </row>
    <row r="2938" spans="1:15" hidden="1" x14ac:dyDescent="0.3">
      <c r="A2938" t="s">
        <v>99</v>
      </c>
      <c r="B2938" t="s">
        <v>331</v>
      </c>
      <c r="C2938">
        <v>0</v>
      </c>
      <c r="D2938">
        <v>2</v>
      </c>
      <c r="E2938">
        <v>1</v>
      </c>
      <c r="F2938">
        <v>214</v>
      </c>
      <c r="G2938">
        <v>217</v>
      </c>
      <c r="H2938">
        <v>1</v>
      </c>
      <c r="I2938">
        <v>2</v>
      </c>
      <c r="J2938">
        <v>8.9972904061745101E-2</v>
      </c>
      <c r="L2938">
        <v>-6.5624935913179798E-3</v>
      </c>
      <c r="M2938">
        <v>1</v>
      </c>
      <c r="O2938">
        <v>-6.5624935913179798E-3</v>
      </c>
    </row>
    <row r="2939" spans="1:15" hidden="1" x14ac:dyDescent="0.3">
      <c r="A2939" t="s">
        <v>99</v>
      </c>
      <c r="B2939" t="s">
        <v>285</v>
      </c>
      <c r="C2939">
        <v>0</v>
      </c>
      <c r="D2939">
        <v>1</v>
      </c>
      <c r="E2939">
        <v>1</v>
      </c>
      <c r="F2939">
        <v>215</v>
      </c>
      <c r="G2939">
        <v>217</v>
      </c>
      <c r="H2939">
        <v>1</v>
      </c>
      <c r="I2939">
        <v>1</v>
      </c>
      <c r="J2939">
        <v>6.4493014968382195E-2</v>
      </c>
      <c r="L2939">
        <v>-4.6296296296296198E-3</v>
      </c>
      <c r="M2939">
        <v>1</v>
      </c>
      <c r="O2939">
        <v>-4.6296296296296198E-3</v>
      </c>
    </row>
    <row r="2940" spans="1:15" x14ac:dyDescent="0.3">
      <c r="A2940" t="s">
        <v>99</v>
      </c>
      <c r="B2940" t="s">
        <v>152</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99</v>
      </c>
      <c r="B2941" t="s">
        <v>311</v>
      </c>
      <c r="C2941">
        <v>0</v>
      </c>
      <c r="D2941">
        <v>1</v>
      </c>
      <c r="E2941">
        <v>1</v>
      </c>
      <c r="F2941">
        <v>215</v>
      </c>
      <c r="G2941">
        <v>217</v>
      </c>
      <c r="H2941">
        <v>1</v>
      </c>
      <c r="I2941">
        <v>1</v>
      </c>
      <c r="J2941">
        <v>6.4493014968382195E-2</v>
      </c>
      <c r="L2941">
        <v>-4.6296296296296198E-3</v>
      </c>
      <c r="M2941">
        <v>1</v>
      </c>
      <c r="O2941">
        <v>-4.6296296296296198E-3</v>
      </c>
    </row>
    <row r="2942" spans="1:15" hidden="1" x14ac:dyDescent="0.3">
      <c r="A2942" t="s">
        <v>99</v>
      </c>
      <c r="B2942" t="s">
        <v>213</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99</v>
      </c>
      <c r="B2943" t="s">
        <v>330</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99</v>
      </c>
      <c r="B2944" t="s">
        <v>252</v>
      </c>
      <c r="C2944">
        <v>0</v>
      </c>
      <c r="D2944">
        <v>3</v>
      </c>
      <c r="E2944">
        <v>1</v>
      </c>
      <c r="F2944">
        <v>213</v>
      </c>
      <c r="G2944">
        <v>217</v>
      </c>
      <c r="H2944">
        <v>1</v>
      </c>
      <c r="I2944">
        <v>3</v>
      </c>
      <c r="J2944">
        <v>0.109052747711589</v>
      </c>
      <c r="L2944">
        <v>-8.0561374087138593E-3</v>
      </c>
      <c r="M2944">
        <v>1</v>
      </c>
      <c r="O2944">
        <v>-8.0561374087138593E-3</v>
      </c>
    </row>
    <row r="2945" spans="1:15" x14ac:dyDescent="0.3">
      <c r="A2945" t="s">
        <v>99</v>
      </c>
      <c r="B2945" t="s">
        <v>170</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99</v>
      </c>
      <c r="B2946" t="s">
        <v>281</v>
      </c>
      <c r="C2946">
        <v>1</v>
      </c>
      <c r="D2946">
        <v>0</v>
      </c>
      <c r="E2946">
        <v>0</v>
      </c>
      <c r="F2946">
        <v>216</v>
      </c>
      <c r="G2946">
        <v>217</v>
      </c>
      <c r="H2946">
        <v>1</v>
      </c>
      <c r="I2946">
        <v>1</v>
      </c>
      <c r="J2946">
        <v>6.4493014968382195E-2</v>
      </c>
      <c r="L2946">
        <v>1</v>
      </c>
      <c r="M2946">
        <v>4.60829493087557E-3</v>
      </c>
      <c r="O2946">
        <v>1</v>
      </c>
    </row>
    <row r="2947" spans="1:15" hidden="1" x14ac:dyDescent="0.3">
      <c r="A2947" t="s">
        <v>99</v>
      </c>
      <c r="B2947" t="s">
        <v>324</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99</v>
      </c>
      <c r="B2948" t="s">
        <v>278</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99</v>
      </c>
      <c r="B2949" t="s">
        <v>292</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99</v>
      </c>
      <c r="B2950" t="s">
        <v>172</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99</v>
      </c>
      <c r="B2951" t="s">
        <v>323</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99</v>
      </c>
      <c r="B2952" t="s">
        <v>326</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99</v>
      </c>
      <c r="B2953" t="s">
        <v>325</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99</v>
      </c>
      <c r="B2954" t="s">
        <v>256</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99</v>
      </c>
      <c r="B2955" t="s">
        <v>243</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99</v>
      </c>
      <c r="B2956" t="s">
        <v>327</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99</v>
      </c>
      <c r="B2957" t="s">
        <v>174</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99</v>
      </c>
      <c r="B2958" t="s">
        <v>260</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99</v>
      </c>
      <c r="B2959" t="s">
        <v>280</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99</v>
      </c>
      <c r="B2960" t="s">
        <v>318</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99</v>
      </c>
      <c r="B2961" t="s">
        <v>244</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99</v>
      </c>
      <c r="B2962" t="s">
        <v>336</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99</v>
      </c>
      <c r="B2963" t="s">
        <v>304</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99</v>
      </c>
      <c r="B2964" t="s">
        <v>270</v>
      </c>
      <c r="C2964">
        <v>0</v>
      </c>
      <c r="D2964">
        <v>3</v>
      </c>
      <c r="E2964">
        <v>1</v>
      </c>
      <c r="F2964">
        <v>213</v>
      </c>
      <c r="G2964">
        <v>217</v>
      </c>
      <c r="H2964">
        <v>1</v>
      </c>
      <c r="I2964">
        <v>3</v>
      </c>
      <c r="J2964">
        <v>0.109052747711589</v>
      </c>
      <c r="L2964">
        <v>-8.0561374087138593E-3</v>
      </c>
      <c r="M2964">
        <v>1</v>
      </c>
      <c r="O2964">
        <v>-8.0561374087138593E-3</v>
      </c>
    </row>
    <row r="2965" spans="1:15" x14ac:dyDescent="0.3">
      <c r="A2965" t="s">
        <v>99</v>
      </c>
      <c r="B2965" t="s">
        <v>257</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99</v>
      </c>
      <c r="B2966" t="s">
        <v>307</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99</v>
      </c>
      <c r="B2967" t="s">
        <v>286</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99</v>
      </c>
      <c r="B2968" t="s">
        <v>198</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99</v>
      </c>
      <c r="B2969" t="s">
        <v>289</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99</v>
      </c>
      <c r="B2970" t="s">
        <v>282</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99</v>
      </c>
      <c r="B2971" t="s">
        <v>291</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103</v>
      </c>
      <c r="B2972" t="s">
        <v>3</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103</v>
      </c>
      <c r="B2973" t="s">
        <v>1</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103</v>
      </c>
      <c r="B2974" t="s">
        <v>314</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103</v>
      </c>
      <c r="B2975" t="s">
        <v>357</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103</v>
      </c>
      <c r="B2976" t="s">
        <v>356</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103</v>
      </c>
      <c r="B2977" t="s">
        <v>273</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103</v>
      </c>
      <c r="B2978" t="s">
        <v>242</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103</v>
      </c>
      <c r="B2979" t="s">
        <v>332</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103</v>
      </c>
      <c r="B2980" t="s">
        <v>355</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103</v>
      </c>
      <c r="B2981" t="s">
        <v>335</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103</v>
      </c>
      <c r="B2982" t="s">
        <v>266</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103</v>
      </c>
      <c r="B2983" t="s">
        <v>272</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103</v>
      </c>
      <c r="B2984" t="s">
        <v>310</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103</v>
      </c>
      <c r="B2985" t="s">
        <v>317</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103</v>
      </c>
      <c r="B2986" t="s">
        <v>9</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103</v>
      </c>
      <c r="B2987" t="s">
        <v>362</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103</v>
      </c>
      <c r="B2988" t="s">
        <v>354</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103</v>
      </c>
      <c r="B2989" t="s">
        <v>353</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103</v>
      </c>
      <c r="B2990" t="s">
        <v>363</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103</v>
      </c>
      <c r="B2991" t="s">
        <v>305</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103</v>
      </c>
      <c r="B2992" t="s">
        <v>339</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103</v>
      </c>
      <c r="B2993" t="s">
        <v>248</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103</v>
      </c>
      <c r="B2994" t="s">
        <v>342</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103</v>
      </c>
      <c r="B2995" t="s">
        <v>315</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103</v>
      </c>
      <c r="B2996" t="s">
        <v>247</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103</v>
      </c>
      <c r="B2997" t="s">
        <v>241</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103</v>
      </c>
      <c r="B2998" t="s">
        <v>334</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103</v>
      </c>
      <c r="B2999" t="s">
        <v>300</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103</v>
      </c>
      <c r="B3000" t="s">
        <v>265</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103</v>
      </c>
      <c r="B3001" t="s">
        <v>271</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103</v>
      </c>
      <c r="B3002" t="s">
        <v>255</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103</v>
      </c>
      <c r="B3003" t="s">
        <v>296</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103</v>
      </c>
      <c r="B3004" t="s">
        <v>249</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103</v>
      </c>
      <c r="B3005" t="s">
        <v>308</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103</v>
      </c>
      <c r="B3006" t="s">
        <v>319</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103</v>
      </c>
      <c r="B3007" t="s">
        <v>245</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103</v>
      </c>
      <c r="B3008" t="s">
        <v>240</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103</v>
      </c>
      <c r="B3009" t="s">
        <v>343</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103</v>
      </c>
      <c r="B3010" t="s">
        <v>258</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103</v>
      </c>
      <c r="B3011" t="s">
        <v>344</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103</v>
      </c>
      <c r="B3012" t="s">
        <v>276</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103</v>
      </c>
      <c r="B3013" t="s">
        <v>333</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103</v>
      </c>
      <c r="B3014" t="s">
        <v>263</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103</v>
      </c>
      <c r="B3015" t="s">
        <v>254</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103</v>
      </c>
      <c r="B3016" t="s">
        <v>320</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103</v>
      </c>
      <c r="B3017" t="s">
        <v>275</v>
      </c>
      <c r="C3017">
        <v>0</v>
      </c>
      <c r="D3017">
        <v>11</v>
      </c>
      <c r="E3017">
        <v>3</v>
      </c>
      <c r="F3017">
        <v>203</v>
      </c>
      <c r="G3017">
        <v>217</v>
      </c>
      <c r="H3017">
        <v>3</v>
      </c>
      <c r="I3017">
        <v>11</v>
      </c>
      <c r="J3017">
        <v>0.318167220875399</v>
      </c>
      <c r="L3017">
        <v>-2.73600239415237E-2</v>
      </c>
      <c r="M3017">
        <v>1</v>
      </c>
      <c r="O3017">
        <v>-2.73600239415237E-2</v>
      </c>
    </row>
    <row r="3018" spans="1:15" hidden="1" x14ac:dyDescent="0.3">
      <c r="A3018" t="s">
        <v>103</v>
      </c>
      <c r="B3018" t="s">
        <v>221</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103</v>
      </c>
      <c r="B3019" t="s">
        <v>322</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103</v>
      </c>
      <c r="B3020" t="s">
        <v>303</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103</v>
      </c>
      <c r="B3021" t="s">
        <v>302</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103</v>
      </c>
      <c r="B3022" t="s">
        <v>147</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103</v>
      </c>
      <c r="B3023" t="s">
        <v>284</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103</v>
      </c>
      <c r="B3024" t="s">
        <v>299</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103</v>
      </c>
      <c r="B3025" t="s">
        <v>301</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103</v>
      </c>
      <c r="B3026" t="s">
        <v>268</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103</v>
      </c>
      <c r="B3027" t="s">
        <v>290</v>
      </c>
      <c r="C3027">
        <v>0</v>
      </c>
      <c r="D3027">
        <v>1</v>
      </c>
      <c r="E3027">
        <v>3</v>
      </c>
      <c r="F3027">
        <v>213</v>
      </c>
      <c r="G3027">
        <v>217</v>
      </c>
      <c r="H3027">
        <v>3</v>
      </c>
      <c r="I3027">
        <v>1</v>
      </c>
      <c r="J3027">
        <v>0.109052747711589</v>
      </c>
      <c r="L3027">
        <v>-8.0561374087138593E-3</v>
      </c>
      <c r="M3027">
        <v>1</v>
      </c>
      <c r="O3027">
        <v>-8.0561374087138593E-3</v>
      </c>
    </row>
    <row r="3028" spans="1:15" hidden="1" x14ac:dyDescent="0.3">
      <c r="A3028" t="s">
        <v>103</v>
      </c>
      <c r="B3028" t="s">
        <v>351</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103</v>
      </c>
      <c r="B3029" t="s">
        <v>337</v>
      </c>
      <c r="C3029">
        <v>0</v>
      </c>
      <c r="D3029">
        <v>3</v>
      </c>
      <c r="E3029">
        <v>3</v>
      </c>
      <c r="F3029">
        <v>211</v>
      </c>
      <c r="G3029">
        <v>217</v>
      </c>
      <c r="H3029">
        <v>3</v>
      </c>
      <c r="I3029">
        <v>3</v>
      </c>
      <c r="J3029">
        <v>0.18126924692201801</v>
      </c>
      <c r="L3029">
        <v>-1.4018691588785E-2</v>
      </c>
      <c r="M3029">
        <v>1</v>
      </c>
      <c r="O3029">
        <v>-1.4018691588785E-2</v>
      </c>
    </row>
    <row r="3030" spans="1:15" hidden="1" x14ac:dyDescent="0.3">
      <c r="A3030" t="s">
        <v>103</v>
      </c>
      <c r="B3030" t="s">
        <v>212</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103</v>
      </c>
      <c r="B3031" t="s">
        <v>250</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103</v>
      </c>
      <c r="B3032" t="s">
        <v>246</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103</v>
      </c>
      <c r="B3033" t="s">
        <v>347</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103</v>
      </c>
      <c r="B3034" t="s">
        <v>283</v>
      </c>
      <c r="C3034">
        <v>0</v>
      </c>
      <c r="D3034">
        <v>1</v>
      </c>
      <c r="E3034">
        <v>3</v>
      </c>
      <c r="F3034">
        <v>213</v>
      </c>
      <c r="G3034">
        <v>217</v>
      </c>
      <c r="H3034">
        <v>3</v>
      </c>
      <c r="I3034">
        <v>1</v>
      </c>
      <c r="J3034">
        <v>0.109052747711589</v>
      </c>
      <c r="L3034">
        <v>-8.0561374087138593E-3</v>
      </c>
      <c r="M3034">
        <v>1</v>
      </c>
      <c r="O3034">
        <v>-8.0561374087138593E-3</v>
      </c>
    </row>
    <row r="3035" spans="1:15" hidden="1" x14ac:dyDescent="0.3">
      <c r="A3035" t="s">
        <v>103</v>
      </c>
      <c r="B3035" t="s">
        <v>219</v>
      </c>
      <c r="C3035">
        <v>0</v>
      </c>
      <c r="D3035">
        <v>4</v>
      </c>
      <c r="E3035">
        <v>3</v>
      </c>
      <c r="F3035">
        <v>210</v>
      </c>
      <c r="G3035">
        <v>217</v>
      </c>
      <c r="H3035">
        <v>3</v>
      </c>
      <c r="I3035">
        <v>4</v>
      </c>
      <c r="J3035">
        <v>0.206212993639731</v>
      </c>
      <c r="L3035">
        <v>-1.6225344799846199E-2</v>
      </c>
      <c r="M3035">
        <v>1</v>
      </c>
      <c r="O3035">
        <v>-1.6225344799846199E-2</v>
      </c>
    </row>
    <row r="3036" spans="1:15" hidden="1" x14ac:dyDescent="0.3">
      <c r="A3036" t="s">
        <v>103</v>
      </c>
      <c r="B3036" t="s">
        <v>220</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103</v>
      </c>
      <c r="B3037" t="s">
        <v>201</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103</v>
      </c>
      <c r="B3038" t="s">
        <v>321</v>
      </c>
      <c r="C3038">
        <v>0</v>
      </c>
      <c r="D3038">
        <v>1</v>
      </c>
      <c r="E3038">
        <v>3</v>
      </c>
      <c r="F3038">
        <v>213</v>
      </c>
      <c r="G3038">
        <v>217</v>
      </c>
      <c r="H3038">
        <v>3</v>
      </c>
      <c r="I3038">
        <v>1</v>
      </c>
      <c r="J3038">
        <v>0.109052747711589</v>
      </c>
      <c r="L3038">
        <v>-8.0561374087138593E-3</v>
      </c>
      <c r="M3038">
        <v>1</v>
      </c>
      <c r="O3038">
        <v>-8.0561374087138593E-3</v>
      </c>
    </row>
    <row r="3039" spans="1:15" hidden="1" x14ac:dyDescent="0.3">
      <c r="A3039" t="s">
        <v>103</v>
      </c>
      <c r="B3039" t="s">
        <v>215</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103</v>
      </c>
      <c r="B3040" t="s">
        <v>341</v>
      </c>
      <c r="C3040">
        <v>0</v>
      </c>
      <c r="D3040">
        <v>1</v>
      </c>
      <c r="E3040">
        <v>3</v>
      </c>
      <c r="F3040">
        <v>213</v>
      </c>
      <c r="G3040">
        <v>217</v>
      </c>
      <c r="H3040">
        <v>3</v>
      </c>
      <c r="I3040">
        <v>1</v>
      </c>
      <c r="J3040">
        <v>0.109052747711589</v>
      </c>
      <c r="L3040">
        <v>-8.0561374087138593E-3</v>
      </c>
      <c r="M3040">
        <v>1</v>
      </c>
      <c r="O3040">
        <v>-8.0561374087138593E-3</v>
      </c>
    </row>
    <row r="3041" spans="1:15" hidden="1" x14ac:dyDescent="0.3">
      <c r="A3041" t="s">
        <v>103</v>
      </c>
      <c r="B3041" t="s">
        <v>214</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103</v>
      </c>
      <c r="B3042" t="s">
        <v>168</v>
      </c>
      <c r="C3042">
        <v>0</v>
      </c>
      <c r="D3042">
        <v>5</v>
      </c>
      <c r="E3042">
        <v>3</v>
      </c>
      <c r="F3042">
        <v>209</v>
      </c>
      <c r="G3042">
        <v>217</v>
      </c>
      <c r="H3042">
        <v>3</v>
      </c>
      <c r="I3042">
        <v>5</v>
      </c>
      <c r="J3042">
        <v>0.22755841388363099</v>
      </c>
      <c r="L3042">
        <v>-1.8183220798401501E-2</v>
      </c>
      <c r="M3042">
        <v>1</v>
      </c>
      <c r="O3042">
        <v>-1.8183220798401501E-2</v>
      </c>
    </row>
    <row r="3043" spans="1:15" hidden="1" x14ac:dyDescent="0.3">
      <c r="A3043" t="s">
        <v>103</v>
      </c>
      <c r="B3043" t="s">
        <v>352</v>
      </c>
      <c r="C3043">
        <v>0</v>
      </c>
      <c r="D3043">
        <v>1</v>
      </c>
      <c r="E3043">
        <v>3</v>
      </c>
      <c r="F3043">
        <v>213</v>
      </c>
      <c r="G3043">
        <v>217</v>
      </c>
      <c r="H3043">
        <v>3</v>
      </c>
      <c r="I3043">
        <v>1</v>
      </c>
      <c r="J3043">
        <v>0.109052747711589</v>
      </c>
      <c r="L3043">
        <v>-8.0561374087138593E-3</v>
      </c>
      <c r="M3043">
        <v>1</v>
      </c>
      <c r="O3043">
        <v>-8.0561374087138593E-3</v>
      </c>
    </row>
    <row r="3044" spans="1:15" x14ac:dyDescent="0.3">
      <c r="A3044" t="s">
        <v>103</v>
      </c>
      <c r="B3044" t="s">
        <v>169</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103</v>
      </c>
      <c r="B3045" t="s">
        <v>340</v>
      </c>
      <c r="C3045">
        <v>0</v>
      </c>
      <c r="D3045">
        <v>1</v>
      </c>
      <c r="E3045">
        <v>3</v>
      </c>
      <c r="F3045">
        <v>213</v>
      </c>
      <c r="G3045">
        <v>217</v>
      </c>
      <c r="H3045">
        <v>3</v>
      </c>
      <c r="I3045">
        <v>1</v>
      </c>
      <c r="J3045">
        <v>0.109052747711589</v>
      </c>
      <c r="L3045">
        <v>-8.0561374087138593E-3</v>
      </c>
      <c r="M3045">
        <v>1</v>
      </c>
      <c r="O3045">
        <v>-8.0561374087138593E-3</v>
      </c>
    </row>
    <row r="3046" spans="1:15" hidden="1" x14ac:dyDescent="0.3">
      <c r="A3046" t="s">
        <v>103</v>
      </c>
      <c r="B3046" t="s">
        <v>190</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103</v>
      </c>
      <c r="B3047" t="s">
        <v>346</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103</v>
      </c>
      <c r="B3048" t="s">
        <v>309</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103</v>
      </c>
      <c r="B3049" t="s">
        <v>148</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103</v>
      </c>
      <c r="B3050" t="s">
        <v>173</v>
      </c>
      <c r="C3050">
        <v>0</v>
      </c>
      <c r="D3050">
        <v>2</v>
      </c>
      <c r="E3050">
        <v>3</v>
      </c>
      <c r="F3050">
        <v>212</v>
      </c>
      <c r="G3050">
        <v>217</v>
      </c>
      <c r="H3050">
        <v>3</v>
      </c>
      <c r="I3050">
        <v>2</v>
      </c>
      <c r="J3050">
        <v>0.15066306992548201</v>
      </c>
      <c r="L3050">
        <v>-1.14195636249397E-2</v>
      </c>
      <c r="M3050">
        <v>1</v>
      </c>
      <c r="O3050">
        <v>-1.14195636249397E-2</v>
      </c>
    </row>
    <row r="3051" spans="1:15" hidden="1" x14ac:dyDescent="0.3">
      <c r="A3051" t="s">
        <v>103</v>
      </c>
      <c r="B3051" t="s">
        <v>217</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103</v>
      </c>
      <c r="B3052" t="s">
        <v>348</v>
      </c>
      <c r="C3052">
        <v>0</v>
      </c>
      <c r="D3052">
        <v>1</v>
      </c>
      <c r="E3052">
        <v>3</v>
      </c>
      <c r="F3052">
        <v>213</v>
      </c>
      <c r="G3052">
        <v>217</v>
      </c>
      <c r="H3052">
        <v>3</v>
      </c>
      <c r="I3052">
        <v>1</v>
      </c>
      <c r="J3052">
        <v>0.109052747711589</v>
      </c>
      <c r="L3052">
        <v>-8.0561374087138593E-3</v>
      </c>
      <c r="M3052">
        <v>1</v>
      </c>
      <c r="O3052">
        <v>-8.0561374087138593E-3</v>
      </c>
    </row>
    <row r="3053" spans="1:15" hidden="1" x14ac:dyDescent="0.3">
      <c r="A3053" t="s">
        <v>103</v>
      </c>
      <c r="B3053" t="s">
        <v>222</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103</v>
      </c>
      <c r="B3054" t="s">
        <v>269</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103</v>
      </c>
      <c r="B3055" t="s">
        <v>349</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103</v>
      </c>
      <c r="B3056" t="s">
        <v>274</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103</v>
      </c>
      <c r="B3057" t="s">
        <v>316</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103</v>
      </c>
      <c r="B3058" t="s">
        <v>350</v>
      </c>
      <c r="C3058">
        <v>0</v>
      </c>
      <c r="D3058">
        <v>1</v>
      </c>
      <c r="E3058">
        <v>3</v>
      </c>
      <c r="F3058">
        <v>213</v>
      </c>
      <c r="G3058">
        <v>217</v>
      </c>
      <c r="H3058">
        <v>3</v>
      </c>
      <c r="I3058">
        <v>1</v>
      </c>
      <c r="J3058">
        <v>0.109052747711589</v>
      </c>
      <c r="L3058">
        <v>-8.0561374087138593E-3</v>
      </c>
      <c r="M3058">
        <v>1</v>
      </c>
      <c r="O3058">
        <v>-8.0561374087138593E-3</v>
      </c>
    </row>
    <row r="3059" spans="1:15" hidden="1" x14ac:dyDescent="0.3">
      <c r="A3059" t="s">
        <v>103</v>
      </c>
      <c r="B3059" t="s">
        <v>218</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103</v>
      </c>
      <c r="B3060" t="s">
        <v>261</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103</v>
      </c>
      <c r="B3061" t="s">
        <v>277</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103</v>
      </c>
      <c r="B3062" t="s">
        <v>251</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103</v>
      </c>
      <c r="B3063" t="s">
        <v>259</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103</v>
      </c>
      <c r="B3064" t="s">
        <v>329</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103</v>
      </c>
      <c r="B3065" t="s">
        <v>360</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103</v>
      </c>
      <c r="B3066" t="s">
        <v>358</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103</v>
      </c>
      <c r="B3067" t="s">
        <v>312</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103</v>
      </c>
      <c r="B3068" t="s">
        <v>361</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103</v>
      </c>
      <c r="B3069" t="s">
        <v>306</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103</v>
      </c>
      <c r="B3070" t="s">
        <v>345</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103</v>
      </c>
      <c r="B3071" t="s">
        <v>338</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103</v>
      </c>
      <c r="B3072" t="s">
        <v>267</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103</v>
      </c>
      <c r="B3073" t="s">
        <v>194</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103</v>
      </c>
      <c r="B3074" t="s">
        <v>328</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103</v>
      </c>
      <c r="B3075" t="s">
        <v>293</v>
      </c>
      <c r="C3075">
        <v>0</v>
      </c>
      <c r="D3075">
        <v>2</v>
      </c>
      <c r="E3075">
        <v>3</v>
      </c>
      <c r="F3075">
        <v>212</v>
      </c>
      <c r="G3075">
        <v>217</v>
      </c>
      <c r="H3075">
        <v>3</v>
      </c>
      <c r="I3075">
        <v>2</v>
      </c>
      <c r="J3075">
        <v>0.15066306992548201</v>
      </c>
      <c r="L3075">
        <v>-1.14195636249397E-2</v>
      </c>
      <c r="M3075">
        <v>1</v>
      </c>
      <c r="O3075">
        <v>-1.14195636249397E-2</v>
      </c>
    </row>
    <row r="3076" spans="1:15" hidden="1" x14ac:dyDescent="0.3">
      <c r="A3076" t="s">
        <v>103</v>
      </c>
      <c r="B3076" t="s">
        <v>216</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103</v>
      </c>
      <c r="B3077" t="s">
        <v>297</v>
      </c>
      <c r="C3077">
        <v>0</v>
      </c>
      <c r="D3077">
        <v>1</v>
      </c>
      <c r="E3077">
        <v>3</v>
      </c>
      <c r="F3077">
        <v>213</v>
      </c>
      <c r="G3077">
        <v>217</v>
      </c>
      <c r="H3077">
        <v>3</v>
      </c>
      <c r="I3077">
        <v>1</v>
      </c>
      <c r="J3077">
        <v>0.109052747711589</v>
      </c>
      <c r="L3077">
        <v>-8.0561374087138593E-3</v>
      </c>
      <c r="M3077">
        <v>1</v>
      </c>
      <c r="O3077">
        <v>-8.0561374087138593E-3</v>
      </c>
    </row>
    <row r="3078" spans="1:15" hidden="1" x14ac:dyDescent="0.3">
      <c r="A3078" t="s">
        <v>103</v>
      </c>
      <c r="B3078" t="s">
        <v>264</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103</v>
      </c>
      <c r="B3079" t="s">
        <v>359</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103</v>
      </c>
      <c r="B3080" t="s">
        <v>313</v>
      </c>
      <c r="C3080">
        <v>0</v>
      </c>
      <c r="D3080">
        <v>1</v>
      </c>
      <c r="E3080">
        <v>3</v>
      </c>
      <c r="F3080">
        <v>213</v>
      </c>
      <c r="G3080">
        <v>217</v>
      </c>
      <c r="H3080">
        <v>3</v>
      </c>
      <c r="I3080">
        <v>1</v>
      </c>
      <c r="J3080">
        <v>0.109052747711589</v>
      </c>
      <c r="L3080">
        <v>-8.0561374087138593E-3</v>
      </c>
      <c r="M3080">
        <v>1</v>
      </c>
      <c r="O3080">
        <v>-8.0561374087138593E-3</v>
      </c>
    </row>
    <row r="3081" spans="1:15" hidden="1" x14ac:dyDescent="0.3">
      <c r="A3081" t="s">
        <v>103</v>
      </c>
      <c r="B3081" t="s">
        <v>331</v>
      </c>
      <c r="C3081">
        <v>0</v>
      </c>
      <c r="D3081">
        <v>2</v>
      </c>
      <c r="E3081">
        <v>3</v>
      </c>
      <c r="F3081">
        <v>212</v>
      </c>
      <c r="G3081">
        <v>217</v>
      </c>
      <c r="H3081">
        <v>3</v>
      </c>
      <c r="I3081">
        <v>2</v>
      </c>
      <c r="J3081">
        <v>0.15066306992548201</v>
      </c>
      <c r="L3081">
        <v>-1.14195636249397E-2</v>
      </c>
      <c r="M3081">
        <v>1</v>
      </c>
      <c r="O3081">
        <v>-1.14195636249397E-2</v>
      </c>
    </row>
    <row r="3082" spans="1:15" hidden="1" x14ac:dyDescent="0.3">
      <c r="A3082" t="s">
        <v>103</v>
      </c>
      <c r="B3082" t="s">
        <v>285</v>
      </c>
      <c r="C3082">
        <v>0</v>
      </c>
      <c r="D3082">
        <v>1</v>
      </c>
      <c r="E3082">
        <v>3</v>
      </c>
      <c r="F3082">
        <v>213</v>
      </c>
      <c r="G3082">
        <v>217</v>
      </c>
      <c r="H3082">
        <v>3</v>
      </c>
      <c r="I3082">
        <v>1</v>
      </c>
      <c r="J3082">
        <v>0.109052747711589</v>
      </c>
      <c r="L3082">
        <v>-8.0561374087138593E-3</v>
      </c>
      <c r="M3082">
        <v>1</v>
      </c>
      <c r="O3082">
        <v>-8.0561374087138593E-3</v>
      </c>
    </row>
    <row r="3083" spans="1:15" x14ac:dyDescent="0.3">
      <c r="A3083" t="s">
        <v>103</v>
      </c>
      <c r="B3083" t="s">
        <v>152</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103</v>
      </c>
      <c r="B3084" t="s">
        <v>311</v>
      </c>
      <c r="C3084">
        <v>0</v>
      </c>
      <c r="D3084">
        <v>1</v>
      </c>
      <c r="E3084">
        <v>3</v>
      </c>
      <c r="F3084">
        <v>213</v>
      </c>
      <c r="G3084">
        <v>217</v>
      </c>
      <c r="H3084">
        <v>3</v>
      </c>
      <c r="I3084">
        <v>1</v>
      </c>
      <c r="J3084">
        <v>0.109052747711589</v>
      </c>
      <c r="L3084">
        <v>-8.0561374087138593E-3</v>
      </c>
      <c r="M3084">
        <v>1</v>
      </c>
      <c r="O3084">
        <v>-8.0561374087138593E-3</v>
      </c>
    </row>
    <row r="3085" spans="1:15" hidden="1" x14ac:dyDescent="0.3">
      <c r="A3085" t="s">
        <v>103</v>
      </c>
      <c r="B3085" t="s">
        <v>213</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103</v>
      </c>
      <c r="B3086" t="s">
        <v>330</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103</v>
      </c>
      <c r="B3087" t="s">
        <v>252</v>
      </c>
      <c r="C3087">
        <v>0</v>
      </c>
      <c r="D3087">
        <v>3</v>
      </c>
      <c r="E3087">
        <v>3</v>
      </c>
      <c r="F3087">
        <v>211</v>
      </c>
      <c r="G3087">
        <v>217</v>
      </c>
      <c r="H3087">
        <v>3</v>
      </c>
      <c r="I3087">
        <v>3</v>
      </c>
      <c r="J3087">
        <v>0.18126924692201801</v>
      </c>
      <c r="L3087">
        <v>-1.4018691588785E-2</v>
      </c>
      <c r="M3087">
        <v>1</v>
      </c>
      <c r="O3087">
        <v>-1.4018691588785E-2</v>
      </c>
    </row>
    <row r="3088" spans="1:15" x14ac:dyDescent="0.3">
      <c r="A3088" t="s">
        <v>103</v>
      </c>
      <c r="B3088" t="s">
        <v>170</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103</v>
      </c>
      <c r="B3089" t="s">
        <v>324</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103</v>
      </c>
      <c r="B3090" t="s">
        <v>278</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103</v>
      </c>
      <c r="B3091" t="s">
        <v>292</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103</v>
      </c>
      <c r="B3092" t="s">
        <v>323</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103</v>
      </c>
      <c r="B3093" t="s">
        <v>326</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103</v>
      </c>
      <c r="B3094" t="s">
        <v>325</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103</v>
      </c>
      <c r="B3095" t="s">
        <v>256</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103</v>
      </c>
      <c r="B3096" t="s">
        <v>327</v>
      </c>
      <c r="C3096">
        <v>0</v>
      </c>
      <c r="D3096">
        <v>1</v>
      </c>
      <c r="E3096">
        <v>3</v>
      </c>
      <c r="F3096">
        <v>213</v>
      </c>
      <c r="G3096">
        <v>217</v>
      </c>
      <c r="H3096">
        <v>3</v>
      </c>
      <c r="I3096">
        <v>1</v>
      </c>
      <c r="J3096">
        <v>0.109052747711589</v>
      </c>
      <c r="L3096">
        <v>-8.0561374087138593E-3</v>
      </c>
      <c r="M3096">
        <v>1</v>
      </c>
      <c r="O3096">
        <v>-8.0561374087138593E-3</v>
      </c>
    </row>
    <row r="3097" spans="1:15" x14ac:dyDescent="0.3">
      <c r="A3097" t="s">
        <v>103</v>
      </c>
      <c r="B3097" t="s">
        <v>174</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103</v>
      </c>
      <c r="B3098" t="s">
        <v>260</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103</v>
      </c>
      <c r="B3099" t="s">
        <v>280</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103</v>
      </c>
      <c r="B3100" t="s">
        <v>318</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103</v>
      </c>
      <c r="B3101" t="s">
        <v>244</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103</v>
      </c>
      <c r="B3102" t="s">
        <v>336</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103</v>
      </c>
      <c r="B3103" t="s">
        <v>304</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103</v>
      </c>
      <c r="B3104" t="s">
        <v>270</v>
      </c>
      <c r="C3104">
        <v>0</v>
      </c>
      <c r="D3104">
        <v>3</v>
      </c>
      <c r="E3104">
        <v>3</v>
      </c>
      <c r="F3104">
        <v>211</v>
      </c>
      <c r="G3104">
        <v>217</v>
      </c>
      <c r="H3104">
        <v>3</v>
      </c>
      <c r="I3104">
        <v>3</v>
      </c>
      <c r="J3104">
        <v>0.18126924692201801</v>
      </c>
      <c r="L3104">
        <v>-1.4018691588785E-2</v>
      </c>
      <c r="M3104">
        <v>1</v>
      </c>
      <c r="O3104">
        <v>-1.4018691588785E-2</v>
      </c>
    </row>
    <row r="3105" spans="1:15" x14ac:dyDescent="0.3">
      <c r="A3105" t="s">
        <v>103</v>
      </c>
      <c r="B3105" t="s">
        <v>257</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103</v>
      </c>
      <c r="B3106" t="s">
        <v>307</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103</v>
      </c>
      <c r="B3107" t="s">
        <v>286</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103</v>
      </c>
      <c r="B3108" t="s">
        <v>198</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103</v>
      </c>
      <c r="B3109" t="s">
        <v>289</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103</v>
      </c>
      <c r="B3110" t="s">
        <v>282</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103</v>
      </c>
      <c r="B3111" t="s">
        <v>291</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107</v>
      </c>
      <c r="B3112" t="s">
        <v>3</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107</v>
      </c>
      <c r="B3113" t="s">
        <v>314</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107</v>
      </c>
      <c r="B3114" t="s">
        <v>357</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107</v>
      </c>
      <c r="B3115" t="s">
        <v>356</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107</v>
      </c>
      <c r="B3116" t="s">
        <v>242</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107</v>
      </c>
      <c r="B3117" t="s">
        <v>332</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107</v>
      </c>
      <c r="B3118" t="s">
        <v>355</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107</v>
      </c>
      <c r="B3119" t="s">
        <v>335</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107</v>
      </c>
      <c r="B3120" t="s">
        <v>266</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107</v>
      </c>
      <c r="B3121" t="s">
        <v>272</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107</v>
      </c>
      <c r="B3122" t="s">
        <v>310</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107</v>
      </c>
      <c r="B3123" t="s">
        <v>317</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107</v>
      </c>
      <c r="B3124" t="s">
        <v>9</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107</v>
      </c>
      <c r="B3125" t="s">
        <v>362</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107</v>
      </c>
      <c r="B3126" t="s">
        <v>354</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107</v>
      </c>
      <c r="B3127" t="s">
        <v>353</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107</v>
      </c>
      <c r="B3128" t="s">
        <v>363</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107</v>
      </c>
      <c r="B3129" t="s">
        <v>305</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107</v>
      </c>
      <c r="B3130" t="s">
        <v>339</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107</v>
      </c>
      <c r="B3131" t="s">
        <v>248</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107</v>
      </c>
      <c r="B3132" t="s">
        <v>342</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107</v>
      </c>
      <c r="B3133" t="s">
        <v>315</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107</v>
      </c>
      <c r="B3134" t="s">
        <v>247</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107</v>
      </c>
      <c r="B3135" t="s">
        <v>241</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107</v>
      </c>
      <c r="B3136" t="s">
        <v>334</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107</v>
      </c>
      <c r="B3137" t="s">
        <v>300</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107</v>
      </c>
      <c r="B3138" t="s">
        <v>265</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107</v>
      </c>
      <c r="B3139" t="s">
        <v>271</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107</v>
      </c>
      <c r="B3140" t="s">
        <v>255</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107</v>
      </c>
      <c r="B3141" t="s">
        <v>296</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107</v>
      </c>
      <c r="B3142" t="s">
        <v>249</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107</v>
      </c>
      <c r="B3143" t="s">
        <v>308</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107</v>
      </c>
      <c r="B3144" t="s">
        <v>319</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107</v>
      </c>
      <c r="B3145" t="s">
        <v>245</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107</v>
      </c>
      <c r="B3146" t="s">
        <v>240</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107</v>
      </c>
      <c r="B3147" t="s">
        <v>343</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107</v>
      </c>
      <c r="B3148" t="s">
        <v>258</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107</v>
      </c>
      <c r="B3149" t="s">
        <v>344</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107</v>
      </c>
      <c r="B3150" t="s">
        <v>276</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107</v>
      </c>
      <c r="B3151" t="s">
        <v>333</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107</v>
      </c>
      <c r="B3152" t="s">
        <v>263</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107</v>
      </c>
      <c r="B3153" t="s">
        <v>254</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107</v>
      </c>
      <c r="B3154" t="s">
        <v>320</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107</v>
      </c>
      <c r="B3155" t="s">
        <v>275</v>
      </c>
      <c r="C3155">
        <v>0</v>
      </c>
      <c r="D3155">
        <v>11</v>
      </c>
      <c r="E3155">
        <v>5</v>
      </c>
      <c r="F3155">
        <v>201</v>
      </c>
      <c r="G3155">
        <v>217</v>
      </c>
      <c r="H3155">
        <v>5</v>
      </c>
      <c r="I3155">
        <v>11</v>
      </c>
      <c r="J3155">
        <v>0.39007131133293199</v>
      </c>
      <c r="L3155">
        <v>-3.5487859421650503E-2</v>
      </c>
      <c r="M3155">
        <v>1</v>
      </c>
      <c r="O3155">
        <v>-3.5487859421650503E-2</v>
      </c>
    </row>
    <row r="3156" spans="1:15" hidden="1" x14ac:dyDescent="0.3">
      <c r="A3156" t="s">
        <v>107</v>
      </c>
      <c r="B3156" t="s">
        <v>221</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107</v>
      </c>
      <c r="B3157" t="s">
        <v>322</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107</v>
      </c>
      <c r="B3158" t="s">
        <v>303</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107</v>
      </c>
      <c r="B3159" t="s">
        <v>302</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107</v>
      </c>
      <c r="B3160" t="s">
        <v>147</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107</v>
      </c>
      <c r="B3161" t="s">
        <v>284</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107</v>
      </c>
      <c r="B3162" t="s">
        <v>299</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107</v>
      </c>
      <c r="B3163" t="s">
        <v>301</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107</v>
      </c>
      <c r="B3164" t="s">
        <v>268</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107</v>
      </c>
      <c r="B3165" t="s">
        <v>290</v>
      </c>
      <c r="C3165">
        <v>0</v>
      </c>
      <c r="D3165">
        <v>1</v>
      </c>
      <c r="E3165">
        <v>5</v>
      </c>
      <c r="F3165">
        <v>211</v>
      </c>
      <c r="G3165">
        <v>217</v>
      </c>
      <c r="H3165">
        <v>5</v>
      </c>
      <c r="I3165">
        <v>1</v>
      </c>
      <c r="J3165">
        <v>0.138492225345964</v>
      </c>
      <c r="L3165">
        <v>-1.0449372136989901E-2</v>
      </c>
      <c r="M3165">
        <v>1</v>
      </c>
      <c r="O3165">
        <v>-1.0449372136989901E-2</v>
      </c>
    </row>
    <row r="3166" spans="1:15" hidden="1" x14ac:dyDescent="0.3">
      <c r="A3166" t="s">
        <v>107</v>
      </c>
      <c r="B3166" t="s">
        <v>351</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107</v>
      </c>
      <c r="B3167" t="s">
        <v>337</v>
      </c>
      <c r="C3167">
        <v>0</v>
      </c>
      <c r="D3167">
        <v>3</v>
      </c>
      <c r="E3167">
        <v>5</v>
      </c>
      <c r="F3167">
        <v>209</v>
      </c>
      <c r="G3167">
        <v>217</v>
      </c>
      <c r="H3167">
        <v>5</v>
      </c>
      <c r="I3167">
        <v>3</v>
      </c>
      <c r="J3167">
        <v>0.22755841388363099</v>
      </c>
      <c r="L3167">
        <v>-1.8183220798401501E-2</v>
      </c>
      <c r="M3167">
        <v>1</v>
      </c>
      <c r="O3167">
        <v>-1.8183220798401501E-2</v>
      </c>
    </row>
    <row r="3168" spans="1:15" hidden="1" x14ac:dyDescent="0.3">
      <c r="A3168" t="s">
        <v>107</v>
      </c>
      <c r="B3168" t="s">
        <v>212</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107</v>
      </c>
      <c r="B3169" t="s">
        <v>250</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107</v>
      </c>
      <c r="B3170" t="s">
        <v>246</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107</v>
      </c>
      <c r="B3171" t="s">
        <v>347</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107</v>
      </c>
      <c r="B3172" t="s">
        <v>283</v>
      </c>
      <c r="C3172">
        <v>0</v>
      </c>
      <c r="D3172">
        <v>1</v>
      </c>
      <c r="E3172">
        <v>5</v>
      </c>
      <c r="F3172">
        <v>211</v>
      </c>
      <c r="G3172">
        <v>217</v>
      </c>
      <c r="H3172">
        <v>5</v>
      </c>
      <c r="I3172">
        <v>1</v>
      </c>
      <c r="J3172">
        <v>0.138492225345964</v>
      </c>
      <c r="L3172">
        <v>-1.0449372136989901E-2</v>
      </c>
      <c r="M3172">
        <v>1</v>
      </c>
      <c r="O3172">
        <v>-1.0449372136989901E-2</v>
      </c>
    </row>
    <row r="3173" spans="1:15" hidden="1" x14ac:dyDescent="0.3">
      <c r="A3173" t="s">
        <v>107</v>
      </c>
      <c r="B3173" t="s">
        <v>219</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107</v>
      </c>
      <c r="B3174" t="s">
        <v>201</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107</v>
      </c>
      <c r="B3175" t="s">
        <v>321</v>
      </c>
      <c r="C3175">
        <v>0</v>
      </c>
      <c r="D3175">
        <v>1</v>
      </c>
      <c r="E3175">
        <v>5</v>
      </c>
      <c r="F3175">
        <v>211</v>
      </c>
      <c r="G3175">
        <v>217</v>
      </c>
      <c r="H3175">
        <v>5</v>
      </c>
      <c r="I3175">
        <v>1</v>
      </c>
      <c r="J3175">
        <v>0.138492225345964</v>
      </c>
      <c r="L3175">
        <v>-1.0449372136989901E-2</v>
      </c>
      <c r="M3175">
        <v>1</v>
      </c>
      <c r="O3175">
        <v>-1.0449372136989901E-2</v>
      </c>
    </row>
    <row r="3176" spans="1:15" hidden="1" x14ac:dyDescent="0.3">
      <c r="A3176" t="s">
        <v>107</v>
      </c>
      <c r="B3176" t="s">
        <v>215</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107</v>
      </c>
      <c r="B3177" t="s">
        <v>253</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107</v>
      </c>
      <c r="B3178" t="s">
        <v>341</v>
      </c>
      <c r="C3178">
        <v>0</v>
      </c>
      <c r="D3178">
        <v>1</v>
      </c>
      <c r="E3178">
        <v>5</v>
      </c>
      <c r="F3178">
        <v>211</v>
      </c>
      <c r="G3178">
        <v>217</v>
      </c>
      <c r="H3178">
        <v>5</v>
      </c>
      <c r="I3178">
        <v>1</v>
      </c>
      <c r="J3178">
        <v>0.138492225345964</v>
      </c>
      <c r="L3178">
        <v>-1.0449372136989901E-2</v>
      </c>
      <c r="M3178">
        <v>1</v>
      </c>
      <c r="O3178">
        <v>-1.0449372136989901E-2</v>
      </c>
    </row>
    <row r="3179" spans="1:15" hidden="1" x14ac:dyDescent="0.3">
      <c r="A3179" t="s">
        <v>107</v>
      </c>
      <c r="B3179" t="s">
        <v>214</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107</v>
      </c>
      <c r="B3180" t="s">
        <v>168</v>
      </c>
      <c r="C3180">
        <v>0</v>
      </c>
      <c r="D3180">
        <v>5</v>
      </c>
      <c r="E3180">
        <v>5</v>
      </c>
      <c r="F3180">
        <v>207</v>
      </c>
      <c r="G3180">
        <v>217</v>
      </c>
      <c r="H3180">
        <v>5</v>
      </c>
      <c r="I3180">
        <v>5</v>
      </c>
      <c r="J3180">
        <v>0.28346868942621001</v>
      </c>
      <c r="L3180">
        <v>-2.3584905660377301E-2</v>
      </c>
      <c r="M3180">
        <v>1</v>
      </c>
      <c r="O3180">
        <v>-2.3584905660377301E-2</v>
      </c>
    </row>
    <row r="3181" spans="1:15" hidden="1" x14ac:dyDescent="0.3">
      <c r="A3181" t="s">
        <v>107</v>
      </c>
      <c r="B3181" t="s">
        <v>352</v>
      </c>
      <c r="C3181">
        <v>0</v>
      </c>
      <c r="D3181">
        <v>1</v>
      </c>
      <c r="E3181">
        <v>5</v>
      </c>
      <c r="F3181">
        <v>211</v>
      </c>
      <c r="G3181">
        <v>217</v>
      </c>
      <c r="H3181">
        <v>5</v>
      </c>
      <c r="I3181">
        <v>1</v>
      </c>
      <c r="J3181">
        <v>0.138492225345964</v>
      </c>
      <c r="L3181">
        <v>-1.0449372136989901E-2</v>
      </c>
      <c r="M3181">
        <v>1</v>
      </c>
      <c r="O3181">
        <v>-1.0449372136989901E-2</v>
      </c>
    </row>
    <row r="3182" spans="1:15" x14ac:dyDescent="0.3">
      <c r="A3182" t="s">
        <v>107</v>
      </c>
      <c r="B3182" t="s">
        <v>169</v>
      </c>
      <c r="C3182">
        <v>0</v>
      </c>
      <c r="D3182">
        <v>2</v>
      </c>
      <c r="E3182">
        <v>5</v>
      </c>
      <c r="F3182">
        <v>210</v>
      </c>
      <c r="G3182">
        <v>217</v>
      </c>
      <c r="H3182">
        <v>5</v>
      </c>
      <c r="I3182">
        <v>2</v>
      </c>
      <c r="J3182">
        <v>0.190078954435137</v>
      </c>
      <c r="L3182">
        <v>-1.48119705393753E-2</v>
      </c>
      <c r="M3182">
        <v>1</v>
      </c>
      <c r="O3182">
        <v>-1.48119705393753E-2</v>
      </c>
    </row>
    <row r="3183" spans="1:15" x14ac:dyDescent="0.3">
      <c r="A3183" t="s">
        <v>107</v>
      </c>
      <c r="B3183" t="s">
        <v>175</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107</v>
      </c>
      <c r="B3184" t="s">
        <v>340</v>
      </c>
      <c r="C3184">
        <v>0</v>
      </c>
      <c r="D3184">
        <v>1</v>
      </c>
      <c r="E3184">
        <v>5</v>
      </c>
      <c r="F3184">
        <v>211</v>
      </c>
      <c r="G3184">
        <v>217</v>
      </c>
      <c r="H3184">
        <v>5</v>
      </c>
      <c r="I3184">
        <v>1</v>
      </c>
      <c r="J3184">
        <v>0.138492225345964</v>
      </c>
      <c r="L3184">
        <v>-1.0449372136989901E-2</v>
      </c>
      <c r="M3184">
        <v>1</v>
      </c>
      <c r="O3184">
        <v>-1.0449372136989901E-2</v>
      </c>
    </row>
    <row r="3185" spans="1:15" hidden="1" x14ac:dyDescent="0.3">
      <c r="A3185" t="s">
        <v>107</v>
      </c>
      <c r="B3185" t="s">
        <v>190</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107</v>
      </c>
      <c r="B3186" t="s">
        <v>346</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107</v>
      </c>
      <c r="B3187" t="s">
        <v>309</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107</v>
      </c>
      <c r="B3188" t="s">
        <v>148</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107</v>
      </c>
      <c r="B3189" t="s">
        <v>173</v>
      </c>
      <c r="C3189">
        <v>0</v>
      </c>
      <c r="D3189">
        <v>2</v>
      </c>
      <c r="E3189">
        <v>5</v>
      </c>
      <c r="F3189">
        <v>210</v>
      </c>
      <c r="G3189">
        <v>217</v>
      </c>
      <c r="H3189">
        <v>5</v>
      </c>
      <c r="I3189">
        <v>2</v>
      </c>
      <c r="J3189">
        <v>0.190078954435137</v>
      </c>
      <c r="L3189">
        <v>-1.48119705393753E-2</v>
      </c>
      <c r="M3189">
        <v>1</v>
      </c>
      <c r="O3189">
        <v>-1.48119705393753E-2</v>
      </c>
    </row>
    <row r="3190" spans="1:15" hidden="1" x14ac:dyDescent="0.3">
      <c r="A3190" t="s">
        <v>107</v>
      </c>
      <c r="B3190" t="s">
        <v>217</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107</v>
      </c>
      <c r="B3191" t="s">
        <v>348</v>
      </c>
      <c r="C3191">
        <v>0</v>
      </c>
      <c r="D3191">
        <v>1</v>
      </c>
      <c r="E3191">
        <v>5</v>
      </c>
      <c r="F3191">
        <v>211</v>
      </c>
      <c r="G3191">
        <v>217</v>
      </c>
      <c r="H3191">
        <v>5</v>
      </c>
      <c r="I3191">
        <v>1</v>
      </c>
      <c r="J3191">
        <v>0.138492225345964</v>
      </c>
      <c r="L3191">
        <v>-1.0449372136989901E-2</v>
      </c>
      <c r="M3191">
        <v>1</v>
      </c>
      <c r="O3191">
        <v>-1.0449372136989901E-2</v>
      </c>
    </row>
    <row r="3192" spans="1:15" hidden="1" x14ac:dyDescent="0.3">
      <c r="A3192" t="s">
        <v>107</v>
      </c>
      <c r="B3192" t="s">
        <v>222</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107</v>
      </c>
      <c r="B3193" t="s">
        <v>269</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107</v>
      </c>
      <c r="B3194" t="s">
        <v>349</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107</v>
      </c>
      <c r="B3195" t="s">
        <v>274</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107</v>
      </c>
      <c r="B3196" t="s">
        <v>316</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107</v>
      </c>
      <c r="B3197" t="s">
        <v>350</v>
      </c>
      <c r="C3197">
        <v>0</v>
      </c>
      <c r="D3197">
        <v>1</v>
      </c>
      <c r="E3197">
        <v>5</v>
      </c>
      <c r="F3197">
        <v>211</v>
      </c>
      <c r="G3197">
        <v>217</v>
      </c>
      <c r="H3197">
        <v>5</v>
      </c>
      <c r="I3197">
        <v>1</v>
      </c>
      <c r="J3197">
        <v>0.138492225345964</v>
      </c>
      <c r="L3197">
        <v>-1.0449372136989901E-2</v>
      </c>
      <c r="M3197">
        <v>1</v>
      </c>
      <c r="O3197">
        <v>-1.0449372136989901E-2</v>
      </c>
    </row>
    <row r="3198" spans="1:15" hidden="1" x14ac:dyDescent="0.3">
      <c r="A3198" t="s">
        <v>107</v>
      </c>
      <c r="B3198" t="s">
        <v>218</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107</v>
      </c>
      <c r="B3199" t="s">
        <v>261</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107</v>
      </c>
      <c r="B3200" t="s">
        <v>277</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107</v>
      </c>
      <c r="B3201" t="s">
        <v>251</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107</v>
      </c>
      <c r="B3202" t="s">
        <v>259</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107</v>
      </c>
      <c r="B3203" t="s">
        <v>329</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107</v>
      </c>
      <c r="B3204" t="s">
        <v>360</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107</v>
      </c>
      <c r="B3205" t="s">
        <v>358</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107</v>
      </c>
      <c r="B3206" t="s">
        <v>312</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107</v>
      </c>
      <c r="B3207" t="s">
        <v>361</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107</v>
      </c>
      <c r="B3208" t="s">
        <v>288</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107</v>
      </c>
      <c r="B3209" t="s">
        <v>306</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107</v>
      </c>
      <c r="B3210" t="s">
        <v>345</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107</v>
      </c>
      <c r="B3211" t="s">
        <v>338</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107</v>
      </c>
      <c r="B3212" t="s">
        <v>267</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107</v>
      </c>
      <c r="B3213" t="s">
        <v>328</v>
      </c>
      <c r="C3213">
        <v>0</v>
      </c>
      <c r="D3213">
        <v>2</v>
      </c>
      <c r="E3213">
        <v>5</v>
      </c>
      <c r="F3213">
        <v>210</v>
      </c>
      <c r="G3213">
        <v>217</v>
      </c>
      <c r="H3213">
        <v>5</v>
      </c>
      <c r="I3213">
        <v>2</v>
      </c>
      <c r="J3213">
        <v>0.190078954435137</v>
      </c>
      <c r="L3213">
        <v>-1.48119705393753E-2</v>
      </c>
      <c r="M3213">
        <v>1</v>
      </c>
      <c r="O3213">
        <v>-1.48119705393753E-2</v>
      </c>
    </row>
    <row r="3214" spans="1:15" hidden="1" x14ac:dyDescent="0.3">
      <c r="A3214" t="s">
        <v>107</v>
      </c>
      <c r="B3214" t="s">
        <v>216</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107</v>
      </c>
      <c r="B3215" t="s">
        <v>297</v>
      </c>
      <c r="C3215">
        <v>0</v>
      </c>
      <c r="D3215">
        <v>1</v>
      </c>
      <c r="E3215">
        <v>5</v>
      </c>
      <c r="F3215">
        <v>211</v>
      </c>
      <c r="G3215">
        <v>217</v>
      </c>
      <c r="H3215">
        <v>5</v>
      </c>
      <c r="I3215">
        <v>1</v>
      </c>
      <c r="J3215">
        <v>0.138492225345964</v>
      </c>
      <c r="L3215">
        <v>-1.0449372136989901E-2</v>
      </c>
      <c r="M3215">
        <v>1</v>
      </c>
      <c r="O3215">
        <v>-1.0449372136989901E-2</v>
      </c>
    </row>
    <row r="3216" spans="1:15" hidden="1" x14ac:dyDescent="0.3">
      <c r="A3216" t="s">
        <v>107</v>
      </c>
      <c r="B3216" t="s">
        <v>264</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107</v>
      </c>
      <c r="B3217" t="s">
        <v>359</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107</v>
      </c>
      <c r="B3218" t="s">
        <v>313</v>
      </c>
      <c r="C3218">
        <v>0</v>
      </c>
      <c r="D3218">
        <v>1</v>
      </c>
      <c r="E3218">
        <v>5</v>
      </c>
      <c r="F3218">
        <v>211</v>
      </c>
      <c r="G3218">
        <v>217</v>
      </c>
      <c r="H3218">
        <v>5</v>
      </c>
      <c r="I3218">
        <v>1</v>
      </c>
      <c r="J3218">
        <v>0.138492225345964</v>
      </c>
      <c r="L3218">
        <v>-1.0449372136989901E-2</v>
      </c>
      <c r="M3218">
        <v>1</v>
      </c>
      <c r="O3218">
        <v>-1.0449372136989901E-2</v>
      </c>
    </row>
    <row r="3219" spans="1:15" hidden="1" x14ac:dyDescent="0.3">
      <c r="A3219" t="s">
        <v>107</v>
      </c>
      <c r="B3219" t="s">
        <v>331</v>
      </c>
      <c r="C3219">
        <v>0</v>
      </c>
      <c r="D3219">
        <v>2</v>
      </c>
      <c r="E3219">
        <v>5</v>
      </c>
      <c r="F3219">
        <v>210</v>
      </c>
      <c r="G3219">
        <v>217</v>
      </c>
      <c r="H3219">
        <v>5</v>
      </c>
      <c r="I3219">
        <v>2</v>
      </c>
      <c r="J3219">
        <v>0.190078954435137</v>
      </c>
      <c r="L3219">
        <v>-1.48119705393753E-2</v>
      </c>
      <c r="M3219">
        <v>1</v>
      </c>
      <c r="O3219">
        <v>-1.48119705393753E-2</v>
      </c>
    </row>
    <row r="3220" spans="1:15" hidden="1" x14ac:dyDescent="0.3">
      <c r="A3220" t="s">
        <v>107</v>
      </c>
      <c r="B3220" t="s">
        <v>285</v>
      </c>
      <c r="C3220">
        <v>0</v>
      </c>
      <c r="D3220">
        <v>1</v>
      </c>
      <c r="E3220">
        <v>5</v>
      </c>
      <c r="F3220">
        <v>211</v>
      </c>
      <c r="G3220">
        <v>217</v>
      </c>
      <c r="H3220">
        <v>5</v>
      </c>
      <c r="I3220">
        <v>1</v>
      </c>
      <c r="J3220">
        <v>0.138492225345964</v>
      </c>
      <c r="L3220">
        <v>-1.0449372136989901E-2</v>
      </c>
      <c r="M3220">
        <v>1</v>
      </c>
      <c r="O3220">
        <v>-1.0449372136989901E-2</v>
      </c>
    </row>
    <row r="3221" spans="1:15" x14ac:dyDescent="0.3">
      <c r="A3221" t="s">
        <v>107</v>
      </c>
      <c r="B3221" t="s">
        <v>152</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107</v>
      </c>
      <c r="B3222" t="s">
        <v>311</v>
      </c>
      <c r="C3222">
        <v>0</v>
      </c>
      <c r="D3222">
        <v>1</v>
      </c>
      <c r="E3222">
        <v>5</v>
      </c>
      <c r="F3222">
        <v>211</v>
      </c>
      <c r="G3222">
        <v>217</v>
      </c>
      <c r="H3222">
        <v>5</v>
      </c>
      <c r="I3222">
        <v>1</v>
      </c>
      <c r="J3222">
        <v>0.138492225345964</v>
      </c>
      <c r="L3222">
        <v>-1.0449372136989901E-2</v>
      </c>
      <c r="M3222">
        <v>1</v>
      </c>
      <c r="O3222">
        <v>-1.0449372136989901E-2</v>
      </c>
    </row>
    <row r="3223" spans="1:15" hidden="1" x14ac:dyDescent="0.3">
      <c r="A3223" t="s">
        <v>107</v>
      </c>
      <c r="B3223" t="s">
        <v>213</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107</v>
      </c>
      <c r="B3224" t="s">
        <v>330</v>
      </c>
      <c r="C3224">
        <v>0</v>
      </c>
      <c r="D3224">
        <v>2</v>
      </c>
      <c r="E3224">
        <v>5</v>
      </c>
      <c r="F3224">
        <v>210</v>
      </c>
      <c r="G3224">
        <v>217</v>
      </c>
      <c r="H3224">
        <v>5</v>
      </c>
      <c r="I3224">
        <v>2</v>
      </c>
      <c r="J3224">
        <v>0.190078954435137</v>
      </c>
      <c r="L3224">
        <v>-1.48119705393753E-2</v>
      </c>
      <c r="M3224">
        <v>1</v>
      </c>
      <c r="O3224">
        <v>-1.48119705393753E-2</v>
      </c>
    </row>
    <row r="3225" spans="1:15" x14ac:dyDescent="0.3">
      <c r="A3225" t="s">
        <v>107</v>
      </c>
      <c r="B3225" t="s">
        <v>170</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107</v>
      </c>
      <c r="B3226" t="s">
        <v>324</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107</v>
      </c>
      <c r="B3227" t="s">
        <v>278</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107</v>
      </c>
      <c r="B3228" t="s">
        <v>292</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107</v>
      </c>
      <c r="B3229" t="s">
        <v>172</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107</v>
      </c>
      <c r="B3230" t="s">
        <v>323</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107</v>
      </c>
      <c r="B3231" t="s">
        <v>326</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107</v>
      </c>
      <c r="B3232" t="s">
        <v>325</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107</v>
      </c>
      <c r="B3233" t="s">
        <v>327</v>
      </c>
      <c r="C3233">
        <v>0</v>
      </c>
      <c r="D3233">
        <v>1</v>
      </c>
      <c r="E3233">
        <v>5</v>
      </c>
      <c r="F3233">
        <v>211</v>
      </c>
      <c r="G3233">
        <v>217</v>
      </c>
      <c r="H3233">
        <v>5</v>
      </c>
      <c r="I3233">
        <v>1</v>
      </c>
      <c r="J3233">
        <v>0.138492225345964</v>
      </c>
      <c r="L3233">
        <v>-1.0449372136989901E-2</v>
      </c>
      <c r="M3233">
        <v>1</v>
      </c>
      <c r="O3233">
        <v>-1.0449372136989901E-2</v>
      </c>
    </row>
    <row r="3234" spans="1:15" x14ac:dyDescent="0.3">
      <c r="A3234" t="s">
        <v>107</v>
      </c>
      <c r="B3234" t="s">
        <v>174</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107</v>
      </c>
      <c r="B3235" t="s">
        <v>260</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107</v>
      </c>
      <c r="B3236" t="s">
        <v>244</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107</v>
      </c>
      <c r="B3237" t="s">
        <v>336</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107</v>
      </c>
      <c r="B3238" t="s">
        <v>304</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107</v>
      </c>
      <c r="B3239" t="s">
        <v>270</v>
      </c>
      <c r="C3239">
        <v>0</v>
      </c>
      <c r="D3239">
        <v>3</v>
      </c>
      <c r="E3239">
        <v>5</v>
      </c>
      <c r="F3239">
        <v>209</v>
      </c>
      <c r="G3239">
        <v>217</v>
      </c>
      <c r="H3239">
        <v>5</v>
      </c>
      <c r="I3239">
        <v>3</v>
      </c>
      <c r="J3239">
        <v>0.22755841388363099</v>
      </c>
      <c r="L3239">
        <v>-1.8183220798401501E-2</v>
      </c>
      <c r="M3239">
        <v>1</v>
      </c>
      <c r="O3239">
        <v>-1.8183220798401501E-2</v>
      </c>
    </row>
    <row r="3240" spans="1:15" x14ac:dyDescent="0.3">
      <c r="A3240" t="s">
        <v>107</v>
      </c>
      <c r="B3240" t="s">
        <v>257</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107</v>
      </c>
      <c r="B3241" t="s">
        <v>307</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107</v>
      </c>
      <c r="B3242" t="s">
        <v>286</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107</v>
      </c>
      <c r="B3243" t="s">
        <v>198</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107</v>
      </c>
      <c r="B3244" t="s">
        <v>289</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107</v>
      </c>
      <c r="B3245" t="s">
        <v>291</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108</v>
      </c>
      <c r="B3246" t="s">
        <v>3</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108</v>
      </c>
      <c r="B3247" t="s">
        <v>1</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108</v>
      </c>
      <c r="B3248" t="s">
        <v>314</v>
      </c>
      <c r="C3248">
        <v>1</v>
      </c>
      <c r="D3248">
        <v>0</v>
      </c>
      <c r="E3248">
        <v>0</v>
      </c>
      <c r="F3248">
        <v>216</v>
      </c>
      <c r="G3248">
        <v>217</v>
      </c>
      <c r="H3248">
        <v>1</v>
      </c>
      <c r="I3248">
        <v>1</v>
      </c>
      <c r="J3248">
        <v>6.4493014968382195E-2</v>
      </c>
      <c r="L3248">
        <v>1</v>
      </c>
      <c r="M3248">
        <v>4.60829493087557E-3</v>
      </c>
      <c r="O3248">
        <v>1</v>
      </c>
    </row>
    <row r="3249" spans="1:15" hidden="1" x14ac:dyDescent="0.3">
      <c r="A3249" t="s">
        <v>108</v>
      </c>
      <c r="B3249" t="s">
        <v>357</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108</v>
      </c>
      <c r="B3250" t="s">
        <v>356</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108</v>
      </c>
      <c r="B3251" t="s">
        <v>273</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108</v>
      </c>
      <c r="B3252" t="s">
        <v>242</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108</v>
      </c>
      <c r="B3253" t="s">
        <v>332</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108</v>
      </c>
      <c r="B3254" t="s">
        <v>355</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108</v>
      </c>
      <c r="B3255" t="s">
        <v>335</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108</v>
      </c>
      <c r="B3256" t="s">
        <v>266</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108</v>
      </c>
      <c r="B3257" t="s">
        <v>272</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108</v>
      </c>
      <c r="B3258" t="s">
        <v>310</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108</v>
      </c>
      <c r="B3259" t="s">
        <v>317</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108</v>
      </c>
      <c r="B3260" t="s">
        <v>9</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108</v>
      </c>
      <c r="B3261" t="s">
        <v>362</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108</v>
      </c>
      <c r="B3262" t="s">
        <v>354</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108</v>
      </c>
      <c r="B3263" t="s">
        <v>353</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108</v>
      </c>
      <c r="B3264" t="s">
        <v>363</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108</v>
      </c>
      <c r="B3265" t="s">
        <v>305</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108</v>
      </c>
      <c r="B3266" t="s">
        <v>339</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108</v>
      </c>
      <c r="B3267" t="s">
        <v>248</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108</v>
      </c>
      <c r="B3268" t="s">
        <v>342</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108</v>
      </c>
      <c r="B3269" t="s">
        <v>315</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108</v>
      </c>
      <c r="B3270" t="s">
        <v>247</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108</v>
      </c>
      <c r="B3271" t="s">
        <v>241</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108</v>
      </c>
      <c r="B3272" t="s">
        <v>334</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108</v>
      </c>
      <c r="B3273" t="s">
        <v>300</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108</v>
      </c>
      <c r="B3274" t="s">
        <v>265</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108</v>
      </c>
      <c r="B3275" t="s">
        <v>271</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108</v>
      </c>
      <c r="B3276" t="s">
        <v>255</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108</v>
      </c>
      <c r="B3277" t="s">
        <v>296</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108</v>
      </c>
      <c r="B3278" t="s">
        <v>249</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108</v>
      </c>
      <c r="B3279" t="s">
        <v>308</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108</v>
      </c>
      <c r="B3280" t="s">
        <v>319</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108</v>
      </c>
      <c r="B3281" t="s">
        <v>245</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108</v>
      </c>
      <c r="B3282" t="s">
        <v>240</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108</v>
      </c>
      <c r="B3283" t="s">
        <v>343</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108</v>
      </c>
      <c r="B3284" t="s">
        <v>258</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108</v>
      </c>
      <c r="B3285" t="s">
        <v>344</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108</v>
      </c>
      <c r="B3286" t="s">
        <v>276</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108</v>
      </c>
      <c r="B3287" t="s">
        <v>333</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108</v>
      </c>
      <c r="B3288" t="s">
        <v>263</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108</v>
      </c>
      <c r="B3289" t="s">
        <v>254</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108</v>
      </c>
      <c r="B3290" t="s">
        <v>320</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108</v>
      </c>
      <c r="B3291" t="s">
        <v>275</v>
      </c>
      <c r="C3291">
        <v>0</v>
      </c>
      <c r="D3291">
        <v>11</v>
      </c>
      <c r="E3291">
        <v>1</v>
      </c>
      <c r="F3291">
        <v>205</v>
      </c>
      <c r="G3291">
        <v>217</v>
      </c>
      <c r="H3291">
        <v>1</v>
      </c>
      <c r="I3291">
        <v>11</v>
      </c>
      <c r="J3291">
        <v>0.19837015644199599</v>
      </c>
      <c r="L3291">
        <v>-1.5723016016341299E-2</v>
      </c>
      <c r="M3291">
        <v>1</v>
      </c>
      <c r="O3291">
        <v>-1.5723016016341299E-2</v>
      </c>
    </row>
    <row r="3292" spans="1:15" hidden="1" x14ac:dyDescent="0.3">
      <c r="A3292" t="s">
        <v>108</v>
      </c>
      <c r="B3292" t="s">
        <v>221</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108</v>
      </c>
      <c r="B3293" t="s">
        <v>322</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108</v>
      </c>
      <c r="B3294" t="s">
        <v>303</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108</v>
      </c>
      <c r="B3295" t="s">
        <v>302</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108</v>
      </c>
      <c r="B3296" t="s">
        <v>147</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108</v>
      </c>
      <c r="B3297" t="s">
        <v>284</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108</v>
      </c>
      <c r="B3298" t="s">
        <v>299</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108</v>
      </c>
      <c r="B3299" t="s">
        <v>301</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108</v>
      </c>
      <c r="B3300" t="s">
        <v>268</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108</v>
      </c>
      <c r="B3301" t="s">
        <v>290</v>
      </c>
      <c r="C3301">
        <v>0</v>
      </c>
      <c r="D3301">
        <v>1</v>
      </c>
      <c r="E3301">
        <v>1</v>
      </c>
      <c r="F3301">
        <v>215</v>
      </c>
      <c r="G3301">
        <v>217</v>
      </c>
      <c r="H3301">
        <v>1</v>
      </c>
      <c r="I3301">
        <v>1</v>
      </c>
      <c r="J3301">
        <v>6.4493014968382195E-2</v>
      </c>
      <c r="L3301">
        <v>-4.6296296296296198E-3</v>
      </c>
      <c r="M3301">
        <v>1</v>
      </c>
      <c r="O3301">
        <v>-4.6296296296296198E-3</v>
      </c>
    </row>
    <row r="3302" spans="1:15" hidden="1" x14ac:dyDescent="0.3">
      <c r="A3302" t="s">
        <v>108</v>
      </c>
      <c r="B3302" t="s">
        <v>351</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108</v>
      </c>
      <c r="B3303" t="s">
        <v>337</v>
      </c>
      <c r="C3303">
        <v>0</v>
      </c>
      <c r="D3303">
        <v>3</v>
      </c>
      <c r="E3303">
        <v>1</v>
      </c>
      <c r="F3303">
        <v>213</v>
      </c>
      <c r="G3303">
        <v>217</v>
      </c>
      <c r="H3303">
        <v>1</v>
      </c>
      <c r="I3303">
        <v>3</v>
      </c>
      <c r="J3303">
        <v>0.109052747711589</v>
      </c>
      <c r="L3303">
        <v>-8.0561374087138593E-3</v>
      </c>
      <c r="M3303">
        <v>1</v>
      </c>
      <c r="O3303">
        <v>-8.0561374087138593E-3</v>
      </c>
    </row>
    <row r="3304" spans="1:15" hidden="1" x14ac:dyDescent="0.3">
      <c r="A3304" t="s">
        <v>108</v>
      </c>
      <c r="B3304" t="s">
        <v>212</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108</v>
      </c>
      <c r="B3305" t="s">
        <v>250</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108</v>
      </c>
      <c r="B3306" t="s">
        <v>246</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108</v>
      </c>
      <c r="B3307" t="s">
        <v>347</v>
      </c>
      <c r="C3307">
        <v>0</v>
      </c>
      <c r="D3307">
        <v>1</v>
      </c>
      <c r="E3307">
        <v>1</v>
      </c>
      <c r="F3307">
        <v>215</v>
      </c>
      <c r="G3307">
        <v>217</v>
      </c>
      <c r="H3307">
        <v>1</v>
      </c>
      <c r="I3307">
        <v>1</v>
      </c>
      <c r="J3307">
        <v>6.4493014968382195E-2</v>
      </c>
      <c r="L3307">
        <v>-4.6296296296296198E-3</v>
      </c>
      <c r="M3307">
        <v>1</v>
      </c>
      <c r="O3307">
        <v>-4.6296296296296198E-3</v>
      </c>
    </row>
    <row r="3308" spans="1:15" hidden="1" x14ac:dyDescent="0.3">
      <c r="A3308" t="s">
        <v>108</v>
      </c>
      <c r="B3308" t="s">
        <v>153</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108</v>
      </c>
      <c r="B3309" t="s">
        <v>283</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108</v>
      </c>
      <c r="B3310" t="s">
        <v>5</v>
      </c>
      <c r="C3310">
        <v>0</v>
      </c>
      <c r="D3310">
        <v>3</v>
      </c>
      <c r="E3310">
        <v>1</v>
      </c>
      <c r="F3310">
        <v>213</v>
      </c>
      <c r="G3310">
        <v>217</v>
      </c>
      <c r="H3310">
        <v>1</v>
      </c>
      <c r="I3310">
        <v>3</v>
      </c>
      <c r="J3310">
        <v>0.109052747711589</v>
      </c>
      <c r="L3310">
        <v>-8.0561374087138593E-3</v>
      </c>
      <c r="M3310">
        <v>1</v>
      </c>
      <c r="O3310">
        <v>-8.0561374087138593E-3</v>
      </c>
    </row>
    <row r="3311" spans="1:15" hidden="1" x14ac:dyDescent="0.3">
      <c r="A3311" t="s">
        <v>108</v>
      </c>
      <c r="B3311" t="s">
        <v>219</v>
      </c>
      <c r="C3311">
        <v>0</v>
      </c>
      <c r="D3311">
        <v>4</v>
      </c>
      <c r="E3311">
        <v>1</v>
      </c>
      <c r="F3311">
        <v>212</v>
      </c>
      <c r="G3311">
        <v>217</v>
      </c>
      <c r="H3311">
        <v>1</v>
      </c>
      <c r="I3311">
        <v>4</v>
      </c>
      <c r="J3311">
        <v>0.124826680957052</v>
      </c>
      <c r="L3311">
        <v>-9.3242373144076501E-3</v>
      </c>
      <c r="M3311">
        <v>1</v>
      </c>
      <c r="O3311">
        <v>-9.3242373144076501E-3</v>
      </c>
    </row>
    <row r="3312" spans="1:15" hidden="1" x14ac:dyDescent="0.3">
      <c r="A3312" t="s">
        <v>108</v>
      </c>
      <c r="B3312" t="s">
        <v>220</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108</v>
      </c>
      <c r="B3313" t="s">
        <v>201</v>
      </c>
      <c r="C3313">
        <v>0</v>
      </c>
      <c r="D3313">
        <v>4</v>
      </c>
      <c r="E3313">
        <v>1</v>
      </c>
      <c r="F3313">
        <v>212</v>
      </c>
      <c r="G3313">
        <v>217</v>
      </c>
      <c r="H3313">
        <v>1</v>
      </c>
      <c r="I3313">
        <v>4</v>
      </c>
      <c r="J3313">
        <v>0.124826680957052</v>
      </c>
      <c r="L3313">
        <v>-9.3242373144076501E-3</v>
      </c>
      <c r="M3313">
        <v>1</v>
      </c>
      <c r="O3313">
        <v>-9.3242373144076501E-3</v>
      </c>
    </row>
    <row r="3314" spans="1:15" hidden="1" x14ac:dyDescent="0.3">
      <c r="A3314" t="s">
        <v>108</v>
      </c>
      <c r="B3314" t="s">
        <v>279</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108</v>
      </c>
      <c r="B3315" t="s">
        <v>262</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108</v>
      </c>
      <c r="B3316" t="s">
        <v>321</v>
      </c>
      <c r="C3316">
        <v>0</v>
      </c>
      <c r="D3316">
        <v>1</v>
      </c>
      <c r="E3316">
        <v>1</v>
      </c>
      <c r="F3316">
        <v>215</v>
      </c>
      <c r="G3316">
        <v>217</v>
      </c>
      <c r="H3316">
        <v>1</v>
      </c>
      <c r="I3316">
        <v>1</v>
      </c>
      <c r="J3316">
        <v>6.4493014968382195E-2</v>
      </c>
      <c r="L3316">
        <v>-4.6296296296296198E-3</v>
      </c>
      <c r="M3316">
        <v>1</v>
      </c>
      <c r="O3316">
        <v>-4.6296296296296198E-3</v>
      </c>
    </row>
    <row r="3317" spans="1:15" hidden="1" x14ac:dyDescent="0.3">
      <c r="A3317" t="s">
        <v>108</v>
      </c>
      <c r="B3317" t="s">
        <v>215</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108</v>
      </c>
      <c r="B3318" t="s">
        <v>253</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108</v>
      </c>
      <c r="B3319" t="s">
        <v>341</v>
      </c>
      <c r="C3319">
        <v>0</v>
      </c>
      <c r="D3319">
        <v>1</v>
      </c>
      <c r="E3319">
        <v>1</v>
      </c>
      <c r="F3319">
        <v>215</v>
      </c>
      <c r="G3319">
        <v>217</v>
      </c>
      <c r="H3319">
        <v>1</v>
      </c>
      <c r="I3319">
        <v>1</v>
      </c>
      <c r="J3319">
        <v>6.4493014968382195E-2</v>
      </c>
      <c r="L3319">
        <v>-4.6296296296296198E-3</v>
      </c>
      <c r="M3319">
        <v>1</v>
      </c>
      <c r="O3319">
        <v>-4.6296296296296198E-3</v>
      </c>
    </row>
    <row r="3320" spans="1:15" hidden="1" x14ac:dyDescent="0.3">
      <c r="A3320" t="s">
        <v>108</v>
      </c>
      <c r="B3320" t="s">
        <v>214</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108</v>
      </c>
      <c r="B3321" t="s">
        <v>168</v>
      </c>
      <c r="C3321">
        <v>0</v>
      </c>
      <c r="D3321">
        <v>5</v>
      </c>
      <c r="E3321">
        <v>1</v>
      </c>
      <c r="F3321">
        <v>211</v>
      </c>
      <c r="G3321">
        <v>217</v>
      </c>
      <c r="H3321">
        <v>1</v>
      </c>
      <c r="I3321">
        <v>5</v>
      </c>
      <c r="J3321">
        <v>0.138492225345964</v>
      </c>
      <c r="L3321">
        <v>-1.0449372136989901E-2</v>
      </c>
      <c r="M3321">
        <v>1</v>
      </c>
      <c r="O3321">
        <v>-1.0449372136989901E-2</v>
      </c>
    </row>
    <row r="3322" spans="1:15" hidden="1" x14ac:dyDescent="0.3">
      <c r="A3322" t="s">
        <v>108</v>
      </c>
      <c r="B3322" t="s">
        <v>352</v>
      </c>
      <c r="C3322">
        <v>0</v>
      </c>
      <c r="D3322">
        <v>1</v>
      </c>
      <c r="E3322">
        <v>1</v>
      </c>
      <c r="F3322">
        <v>215</v>
      </c>
      <c r="G3322">
        <v>217</v>
      </c>
      <c r="H3322">
        <v>1</v>
      </c>
      <c r="I3322">
        <v>1</v>
      </c>
      <c r="J3322">
        <v>6.4493014968382195E-2</v>
      </c>
      <c r="L3322">
        <v>-4.6296296296296198E-3</v>
      </c>
      <c r="M3322">
        <v>1</v>
      </c>
      <c r="O3322">
        <v>-4.6296296296296198E-3</v>
      </c>
    </row>
    <row r="3323" spans="1:15" x14ac:dyDescent="0.3">
      <c r="A3323" t="s">
        <v>108</v>
      </c>
      <c r="B3323" t="s">
        <v>169</v>
      </c>
      <c r="C3323">
        <v>0</v>
      </c>
      <c r="D3323">
        <v>2</v>
      </c>
      <c r="E3323">
        <v>1</v>
      </c>
      <c r="F3323">
        <v>214</v>
      </c>
      <c r="G3323">
        <v>217</v>
      </c>
      <c r="H3323">
        <v>1</v>
      </c>
      <c r="I3323">
        <v>2</v>
      </c>
      <c r="J3323">
        <v>8.9972904061745101E-2</v>
      </c>
      <c r="L3323">
        <v>-6.5624935913179798E-3</v>
      </c>
      <c r="M3323">
        <v>1</v>
      </c>
      <c r="O3323">
        <v>-6.5624935913179798E-3</v>
      </c>
    </row>
    <row r="3324" spans="1:15" x14ac:dyDescent="0.3">
      <c r="A3324" t="s">
        <v>108</v>
      </c>
      <c r="B3324" t="s">
        <v>175</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108</v>
      </c>
      <c r="B3325" t="s">
        <v>340</v>
      </c>
      <c r="C3325">
        <v>0</v>
      </c>
      <c r="D3325">
        <v>1</v>
      </c>
      <c r="E3325">
        <v>1</v>
      </c>
      <c r="F3325">
        <v>215</v>
      </c>
      <c r="G3325">
        <v>217</v>
      </c>
      <c r="H3325">
        <v>1</v>
      </c>
      <c r="I3325">
        <v>1</v>
      </c>
      <c r="J3325">
        <v>6.4493014968382195E-2</v>
      </c>
      <c r="L3325">
        <v>-4.6296296296296198E-3</v>
      </c>
      <c r="M3325">
        <v>1</v>
      </c>
      <c r="O3325">
        <v>-4.6296296296296198E-3</v>
      </c>
    </row>
    <row r="3326" spans="1:15" hidden="1" x14ac:dyDescent="0.3">
      <c r="A3326" t="s">
        <v>108</v>
      </c>
      <c r="B3326" t="s">
        <v>190</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108</v>
      </c>
      <c r="B3327" t="s">
        <v>346</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108</v>
      </c>
      <c r="B3328" t="s">
        <v>309</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108</v>
      </c>
      <c r="B3329" t="s">
        <v>148</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108</v>
      </c>
      <c r="B3330" t="s">
        <v>173</v>
      </c>
      <c r="C3330">
        <v>0</v>
      </c>
      <c r="D3330">
        <v>2</v>
      </c>
      <c r="E3330">
        <v>1</v>
      </c>
      <c r="F3330">
        <v>214</v>
      </c>
      <c r="G3330">
        <v>217</v>
      </c>
      <c r="H3330">
        <v>1</v>
      </c>
      <c r="I3330">
        <v>2</v>
      </c>
      <c r="J3330">
        <v>8.9972904061745101E-2</v>
      </c>
      <c r="L3330">
        <v>-6.5624935913179798E-3</v>
      </c>
      <c r="M3330">
        <v>1</v>
      </c>
      <c r="O3330">
        <v>-6.5624935913179798E-3</v>
      </c>
    </row>
    <row r="3331" spans="1:15" hidden="1" x14ac:dyDescent="0.3">
      <c r="A3331" t="s">
        <v>108</v>
      </c>
      <c r="B3331" t="s">
        <v>217</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108</v>
      </c>
      <c r="B3332" t="s">
        <v>348</v>
      </c>
      <c r="C3332">
        <v>0</v>
      </c>
      <c r="D3332">
        <v>1</v>
      </c>
      <c r="E3332">
        <v>1</v>
      </c>
      <c r="F3332">
        <v>215</v>
      </c>
      <c r="G3332">
        <v>217</v>
      </c>
      <c r="H3332">
        <v>1</v>
      </c>
      <c r="I3332">
        <v>1</v>
      </c>
      <c r="J3332">
        <v>6.4493014968382195E-2</v>
      </c>
      <c r="L3332">
        <v>-4.6296296296296198E-3</v>
      </c>
      <c r="M3332">
        <v>1</v>
      </c>
      <c r="O3332">
        <v>-4.6296296296296198E-3</v>
      </c>
    </row>
    <row r="3333" spans="1:15" hidden="1" x14ac:dyDescent="0.3">
      <c r="A3333" t="s">
        <v>108</v>
      </c>
      <c r="B3333" t="s">
        <v>222</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108</v>
      </c>
      <c r="B3334" t="s">
        <v>269</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108</v>
      </c>
      <c r="B3335" t="s">
        <v>349</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108</v>
      </c>
      <c r="B3336" t="s">
        <v>274</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108</v>
      </c>
      <c r="B3337" t="s">
        <v>316</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108</v>
      </c>
      <c r="B3338" t="s">
        <v>350</v>
      </c>
      <c r="C3338">
        <v>0</v>
      </c>
      <c r="D3338">
        <v>1</v>
      </c>
      <c r="E3338">
        <v>1</v>
      </c>
      <c r="F3338">
        <v>215</v>
      </c>
      <c r="G3338">
        <v>217</v>
      </c>
      <c r="H3338">
        <v>1</v>
      </c>
      <c r="I3338">
        <v>1</v>
      </c>
      <c r="J3338">
        <v>6.4493014968382195E-2</v>
      </c>
      <c r="L3338">
        <v>-4.6296296296296198E-3</v>
      </c>
      <c r="M3338">
        <v>1</v>
      </c>
      <c r="O3338">
        <v>-4.6296296296296198E-3</v>
      </c>
    </row>
    <row r="3339" spans="1:15" hidden="1" x14ac:dyDescent="0.3">
      <c r="A3339" t="s">
        <v>108</v>
      </c>
      <c r="B3339" t="s">
        <v>218</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108</v>
      </c>
      <c r="B3340" t="s">
        <v>261</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108</v>
      </c>
      <c r="B3341" t="s">
        <v>277</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108</v>
      </c>
      <c r="B3342" t="s">
        <v>251</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108</v>
      </c>
      <c r="B3343" t="s">
        <v>259</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108</v>
      </c>
      <c r="B3344" t="s">
        <v>329</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108</v>
      </c>
      <c r="B3345" t="s">
        <v>360</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108</v>
      </c>
      <c r="B3346" t="s">
        <v>358</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108</v>
      </c>
      <c r="B3347" t="s">
        <v>312</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108</v>
      </c>
      <c r="B3348" t="s">
        <v>361</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108</v>
      </c>
      <c r="B3349" t="s">
        <v>288</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108</v>
      </c>
      <c r="B3350" t="s">
        <v>306</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108</v>
      </c>
      <c r="B3351" t="s">
        <v>345</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108</v>
      </c>
      <c r="B3352" t="s">
        <v>338</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108</v>
      </c>
      <c r="B3353" t="s">
        <v>267</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108</v>
      </c>
      <c r="B3354" t="s">
        <v>194</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108</v>
      </c>
      <c r="B3355" t="s">
        <v>328</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108</v>
      </c>
      <c r="B3356" t="s">
        <v>293</v>
      </c>
      <c r="C3356">
        <v>0</v>
      </c>
      <c r="D3356">
        <v>2</v>
      </c>
      <c r="E3356">
        <v>1</v>
      </c>
      <c r="F3356">
        <v>214</v>
      </c>
      <c r="G3356">
        <v>217</v>
      </c>
      <c r="H3356">
        <v>1</v>
      </c>
      <c r="I3356">
        <v>2</v>
      </c>
      <c r="J3356">
        <v>8.9972904061745101E-2</v>
      </c>
      <c r="L3356">
        <v>-6.5624935913179798E-3</v>
      </c>
      <c r="M3356">
        <v>1</v>
      </c>
      <c r="O3356">
        <v>-6.5624935913179798E-3</v>
      </c>
    </row>
    <row r="3357" spans="1:15" hidden="1" x14ac:dyDescent="0.3">
      <c r="A3357" t="s">
        <v>108</v>
      </c>
      <c r="B3357" t="s">
        <v>216</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108</v>
      </c>
      <c r="B3358" t="s">
        <v>297</v>
      </c>
      <c r="C3358">
        <v>0</v>
      </c>
      <c r="D3358">
        <v>1</v>
      </c>
      <c r="E3358">
        <v>1</v>
      </c>
      <c r="F3358">
        <v>215</v>
      </c>
      <c r="G3358">
        <v>217</v>
      </c>
      <c r="H3358">
        <v>1</v>
      </c>
      <c r="I3358">
        <v>1</v>
      </c>
      <c r="J3358">
        <v>6.4493014968382195E-2</v>
      </c>
      <c r="L3358">
        <v>-4.6296296296296198E-3</v>
      </c>
      <c r="M3358">
        <v>1</v>
      </c>
      <c r="O3358">
        <v>-4.6296296296296198E-3</v>
      </c>
    </row>
    <row r="3359" spans="1:15" hidden="1" x14ac:dyDescent="0.3">
      <c r="A3359" t="s">
        <v>108</v>
      </c>
      <c r="B3359" t="s">
        <v>264</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108</v>
      </c>
      <c r="B3360" t="s">
        <v>359</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108</v>
      </c>
      <c r="B3361" t="s">
        <v>313</v>
      </c>
      <c r="C3361">
        <v>0</v>
      </c>
      <c r="D3361">
        <v>1</v>
      </c>
      <c r="E3361">
        <v>1</v>
      </c>
      <c r="F3361">
        <v>215</v>
      </c>
      <c r="G3361">
        <v>217</v>
      </c>
      <c r="H3361">
        <v>1</v>
      </c>
      <c r="I3361">
        <v>1</v>
      </c>
      <c r="J3361">
        <v>6.4493014968382195E-2</v>
      </c>
      <c r="L3361">
        <v>-4.6296296296296198E-3</v>
      </c>
      <c r="M3361">
        <v>1</v>
      </c>
      <c r="O3361">
        <v>-4.6296296296296198E-3</v>
      </c>
    </row>
    <row r="3362" spans="1:15" hidden="1" x14ac:dyDescent="0.3">
      <c r="A3362" t="s">
        <v>108</v>
      </c>
      <c r="B3362" t="s">
        <v>331</v>
      </c>
      <c r="C3362">
        <v>0</v>
      </c>
      <c r="D3362">
        <v>2</v>
      </c>
      <c r="E3362">
        <v>1</v>
      </c>
      <c r="F3362">
        <v>214</v>
      </c>
      <c r="G3362">
        <v>217</v>
      </c>
      <c r="H3362">
        <v>1</v>
      </c>
      <c r="I3362">
        <v>2</v>
      </c>
      <c r="J3362">
        <v>8.9972904061745101E-2</v>
      </c>
      <c r="L3362">
        <v>-6.5624935913179798E-3</v>
      </c>
      <c r="M3362">
        <v>1</v>
      </c>
      <c r="O3362">
        <v>-6.5624935913179798E-3</v>
      </c>
    </row>
    <row r="3363" spans="1:15" hidden="1" x14ac:dyDescent="0.3">
      <c r="A3363" t="s">
        <v>108</v>
      </c>
      <c r="B3363" t="s">
        <v>285</v>
      </c>
      <c r="C3363">
        <v>0</v>
      </c>
      <c r="D3363">
        <v>1</v>
      </c>
      <c r="E3363">
        <v>1</v>
      </c>
      <c r="F3363">
        <v>215</v>
      </c>
      <c r="G3363">
        <v>217</v>
      </c>
      <c r="H3363">
        <v>1</v>
      </c>
      <c r="I3363">
        <v>1</v>
      </c>
      <c r="J3363">
        <v>6.4493014968382195E-2</v>
      </c>
      <c r="L3363">
        <v>-4.6296296296296198E-3</v>
      </c>
      <c r="M3363">
        <v>1</v>
      </c>
      <c r="O3363">
        <v>-4.6296296296296198E-3</v>
      </c>
    </row>
    <row r="3364" spans="1:15" x14ac:dyDescent="0.3">
      <c r="A3364" t="s">
        <v>108</v>
      </c>
      <c r="B3364" t="s">
        <v>152</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108</v>
      </c>
      <c r="B3365" t="s">
        <v>311</v>
      </c>
      <c r="C3365">
        <v>0</v>
      </c>
      <c r="D3365">
        <v>1</v>
      </c>
      <c r="E3365">
        <v>1</v>
      </c>
      <c r="F3365">
        <v>215</v>
      </c>
      <c r="G3365">
        <v>217</v>
      </c>
      <c r="H3365">
        <v>1</v>
      </c>
      <c r="I3365">
        <v>1</v>
      </c>
      <c r="J3365">
        <v>6.4493014968382195E-2</v>
      </c>
      <c r="L3365">
        <v>-4.6296296296296198E-3</v>
      </c>
      <c r="M3365">
        <v>1</v>
      </c>
      <c r="O3365">
        <v>-4.6296296296296198E-3</v>
      </c>
    </row>
    <row r="3366" spans="1:15" hidden="1" x14ac:dyDescent="0.3">
      <c r="A3366" t="s">
        <v>108</v>
      </c>
      <c r="B3366" t="s">
        <v>213</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108</v>
      </c>
      <c r="B3367" t="s">
        <v>330</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108</v>
      </c>
      <c r="B3368" t="s">
        <v>252</v>
      </c>
      <c r="C3368">
        <v>0</v>
      </c>
      <c r="D3368">
        <v>3</v>
      </c>
      <c r="E3368">
        <v>1</v>
      </c>
      <c r="F3368">
        <v>213</v>
      </c>
      <c r="G3368">
        <v>217</v>
      </c>
      <c r="H3368">
        <v>1</v>
      </c>
      <c r="I3368">
        <v>3</v>
      </c>
      <c r="J3368">
        <v>0.109052747711589</v>
      </c>
      <c r="L3368">
        <v>-8.0561374087138593E-3</v>
      </c>
      <c r="M3368">
        <v>1</v>
      </c>
      <c r="O3368">
        <v>-8.0561374087138593E-3</v>
      </c>
    </row>
    <row r="3369" spans="1:15" x14ac:dyDescent="0.3">
      <c r="A3369" t="s">
        <v>108</v>
      </c>
      <c r="B3369" t="s">
        <v>170</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108</v>
      </c>
      <c r="B3370" t="s">
        <v>281</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108</v>
      </c>
      <c r="B3371" t="s">
        <v>324</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108</v>
      </c>
      <c r="B3372" t="s">
        <v>278</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108</v>
      </c>
      <c r="B3373" t="s">
        <v>292</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108</v>
      </c>
      <c r="B3374" t="s">
        <v>172</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108</v>
      </c>
      <c r="B3375" t="s">
        <v>323</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108</v>
      </c>
      <c r="B3376" t="s">
        <v>326</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108</v>
      </c>
      <c r="B3377" t="s">
        <v>325</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108</v>
      </c>
      <c r="B3378" t="s">
        <v>256</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108</v>
      </c>
      <c r="B3379" t="s">
        <v>243</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108</v>
      </c>
      <c r="B3380" t="s">
        <v>327</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108</v>
      </c>
      <c r="B3381" t="s">
        <v>174</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108</v>
      </c>
      <c r="B3382" t="s">
        <v>260</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108</v>
      </c>
      <c r="B3383" t="s">
        <v>280</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108</v>
      </c>
      <c r="B3384" t="s">
        <v>318</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108</v>
      </c>
      <c r="B3385" t="s">
        <v>244</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108</v>
      </c>
      <c r="B3386" t="s">
        <v>336</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108</v>
      </c>
      <c r="B3387" t="s">
        <v>304</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108</v>
      </c>
      <c r="B3388" t="s">
        <v>270</v>
      </c>
      <c r="C3388">
        <v>0</v>
      </c>
      <c r="D3388">
        <v>3</v>
      </c>
      <c r="E3388">
        <v>1</v>
      </c>
      <c r="F3388">
        <v>213</v>
      </c>
      <c r="G3388">
        <v>217</v>
      </c>
      <c r="H3388">
        <v>1</v>
      </c>
      <c r="I3388">
        <v>3</v>
      </c>
      <c r="J3388">
        <v>0.109052747711589</v>
      </c>
      <c r="L3388">
        <v>-8.0561374087138593E-3</v>
      </c>
      <c r="M3388">
        <v>1</v>
      </c>
      <c r="O3388">
        <v>-8.0561374087138593E-3</v>
      </c>
    </row>
    <row r="3389" spans="1:15" x14ac:dyDescent="0.3">
      <c r="A3389" t="s">
        <v>108</v>
      </c>
      <c r="B3389" t="s">
        <v>257</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108</v>
      </c>
      <c r="B3390" t="s">
        <v>307</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108</v>
      </c>
      <c r="B3391" t="s">
        <v>286</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108</v>
      </c>
      <c r="B3392" t="s">
        <v>198</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108</v>
      </c>
      <c r="B3393" t="s">
        <v>289</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108</v>
      </c>
      <c r="B3394" t="s">
        <v>282</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108</v>
      </c>
      <c r="B3395" t="s">
        <v>291</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116</v>
      </c>
      <c r="B3396" t="s">
        <v>3</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116</v>
      </c>
      <c r="B3397" t="s">
        <v>314</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116</v>
      </c>
      <c r="B3398" t="s">
        <v>357</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116</v>
      </c>
      <c r="B3399" t="s">
        <v>356</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116</v>
      </c>
      <c r="B3400" t="s">
        <v>273</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116</v>
      </c>
      <c r="B3401" t="s">
        <v>332</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116</v>
      </c>
      <c r="B3402" t="s">
        <v>355</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116</v>
      </c>
      <c r="B3403" t="s">
        <v>335</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116</v>
      </c>
      <c r="B3404" t="s">
        <v>266</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116</v>
      </c>
      <c r="B3405" t="s">
        <v>272</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116</v>
      </c>
      <c r="B3406" t="s">
        <v>310</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116</v>
      </c>
      <c r="B3407" t="s">
        <v>317</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116</v>
      </c>
      <c r="B3408" t="s">
        <v>9</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116</v>
      </c>
      <c r="B3409" t="s">
        <v>362</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116</v>
      </c>
      <c r="B3410" t="s">
        <v>354</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116</v>
      </c>
      <c r="B3411" t="s">
        <v>353</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116</v>
      </c>
      <c r="B3412" t="s">
        <v>363</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116</v>
      </c>
      <c r="B3413" t="s">
        <v>305</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116</v>
      </c>
      <c r="B3414" t="s">
        <v>339</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116</v>
      </c>
      <c r="B3415" t="s">
        <v>248</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116</v>
      </c>
      <c r="B3416" t="s">
        <v>342</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116</v>
      </c>
      <c r="B3417" t="s">
        <v>315</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116</v>
      </c>
      <c r="B3418" t="s">
        <v>241</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116</v>
      </c>
      <c r="B3419" t="s">
        <v>334</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116</v>
      </c>
      <c r="B3420" t="s">
        <v>300</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116</v>
      </c>
      <c r="B3421" t="s">
        <v>271</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116</v>
      </c>
      <c r="B3422" t="s">
        <v>255</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116</v>
      </c>
      <c r="B3423" t="s">
        <v>296</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116</v>
      </c>
      <c r="B3424" t="s">
        <v>249</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116</v>
      </c>
      <c r="B3425" t="s">
        <v>308</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116</v>
      </c>
      <c r="B3426" t="s">
        <v>319</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116</v>
      </c>
      <c r="B3427" t="s">
        <v>245</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116</v>
      </c>
      <c r="B3428" t="s">
        <v>240</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116</v>
      </c>
      <c r="B3429" t="s">
        <v>343</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116</v>
      </c>
      <c r="B3430" t="s">
        <v>344</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116</v>
      </c>
      <c r="B3431" t="s">
        <v>276</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116</v>
      </c>
      <c r="B3432" t="s">
        <v>333</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116</v>
      </c>
      <c r="B3433" t="s">
        <v>263</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116</v>
      </c>
      <c r="B3434" t="s">
        <v>254</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116</v>
      </c>
      <c r="B3435" t="s">
        <v>320</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116</v>
      </c>
      <c r="B3436" t="s">
        <v>275</v>
      </c>
      <c r="C3436">
        <v>0</v>
      </c>
      <c r="D3436">
        <v>11</v>
      </c>
      <c r="E3436">
        <v>11</v>
      </c>
      <c r="F3436">
        <v>195</v>
      </c>
      <c r="G3436">
        <v>217</v>
      </c>
      <c r="H3436">
        <v>11</v>
      </c>
      <c r="I3436">
        <v>11</v>
      </c>
      <c r="J3436">
        <v>0.51969469891020004</v>
      </c>
      <c r="L3436">
        <v>-5.3398058252427098E-2</v>
      </c>
      <c r="M3436">
        <v>1</v>
      </c>
      <c r="O3436">
        <v>-5.3398058252427098E-2</v>
      </c>
    </row>
    <row r="3437" spans="1:15" hidden="1" x14ac:dyDescent="0.3">
      <c r="A3437" t="s">
        <v>116</v>
      </c>
      <c r="B3437" t="s">
        <v>221</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116</v>
      </c>
      <c r="B3438" t="s">
        <v>322</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116</v>
      </c>
      <c r="B3439" t="s">
        <v>303</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116</v>
      </c>
      <c r="B3440" t="s">
        <v>302</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116</v>
      </c>
      <c r="B3441" t="s">
        <v>147</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116</v>
      </c>
      <c r="B3442" t="s">
        <v>284</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116</v>
      </c>
      <c r="B3443" t="s">
        <v>299</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116</v>
      </c>
      <c r="B3444" t="s">
        <v>301</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116</v>
      </c>
      <c r="B3445" t="s">
        <v>268</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116</v>
      </c>
      <c r="B3446" t="s">
        <v>290</v>
      </c>
      <c r="C3446">
        <v>0</v>
      </c>
      <c r="D3446">
        <v>1</v>
      </c>
      <c r="E3446">
        <v>11</v>
      </c>
      <c r="F3446">
        <v>205</v>
      </c>
      <c r="G3446">
        <v>217</v>
      </c>
      <c r="H3446">
        <v>11</v>
      </c>
      <c r="I3446">
        <v>1</v>
      </c>
      <c r="J3446">
        <v>0.19837015644199599</v>
      </c>
      <c r="L3446">
        <v>-1.5723016016341299E-2</v>
      </c>
      <c r="M3446">
        <v>1</v>
      </c>
      <c r="O3446">
        <v>-1.5723016016341299E-2</v>
      </c>
    </row>
    <row r="3447" spans="1:15" hidden="1" x14ac:dyDescent="0.3">
      <c r="A3447" t="s">
        <v>116</v>
      </c>
      <c r="B3447" t="s">
        <v>351</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116</v>
      </c>
      <c r="B3448" t="s">
        <v>337</v>
      </c>
      <c r="C3448">
        <v>0</v>
      </c>
      <c r="D3448">
        <v>3</v>
      </c>
      <c r="E3448">
        <v>11</v>
      </c>
      <c r="F3448">
        <v>203</v>
      </c>
      <c r="G3448">
        <v>217</v>
      </c>
      <c r="H3448">
        <v>11</v>
      </c>
      <c r="I3448">
        <v>3</v>
      </c>
      <c r="J3448">
        <v>0.318167220875399</v>
      </c>
      <c r="L3448">
        <v>-2.73600239415237E-2</v>
      </c>
      <c r="M3448">
        <v>1</v>
      </c>
      <c r="O3448">
        <v>-2.73600239415237E-2</v>
      </c>
    </row>
    <row r="3449" spans="1:15" hidden="1" x14ac:dyDescent="0.3">
      <c r="A3449" t="s">
        <v>116</v>
      </c>
      <c r="B3449" t="s">
        <v>212</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116</v>
      </c>
      <c r="B3450" t="s">
        <v>250</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116</v>
      </c>
      <c r="B3451" t="s">
        <v>246</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116</v>
      </c>
      <c r="B3452" t="s">
        <v>347</v>
      </c>
      <c r="C3452">
        <v>0</v>
      </c>
      <c r="D3452">
        <v>1</v>
      </c>
      <c r="E3452">
        <v>11</v>
      </c>
      <c r="F3452">
        <v>205</v>
      </c>
      <c r="G3452">
        <v>217</v>
      </c>
      <c r="H3452">
        <v>11</v>
      </c>
      <c r="I3452">
        <v>1</v>
      </c>
      <c r="J3452">
        <v>0.19837015644199599</v>
      </c>
      <c r="L3452">
        <v>-1.5723016016341299E-2</v>
      </c>
      <c r="M3452">
        <v>1</v>
      </c>
      <c r="O3452">
        <v>-1.5723016016341299E-2</v>
      </c>
    </row>
    <row r="3453" spans="1:15" hidden="1" x14ac:dyDescent="0.3">
      <c r="A3453" t="s">
        <v>116</v>
      </c>
      <c r="B3453" t="s">
        <v>153</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116</v>
      </c>
      <c r="B3454" t="s">
        <v>283</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116</v>
      </c>
      <c r="B3455" t="s">
        <v>5</v>
      </c>
      <c r="C3455">
        <v>0</v>
      </c>
      <c r="D3455">
        <v>3</v>
      </c>
      <c r="E3455">
        <v>11</v>
      </c>
      <c r="F3455">
        <v>203</v>
      </c>
      <c r="G3455">
        <v>217</v>
      </c>
      <c r="H3455">
        <v>11</v>
      </c>
      <c r="I3455">
        <v>3</v>
      </c>
      <c r="J3455">
        <v>0.318167220875399</v>
      </c>
      <c r="L3455">
        <v>-2.73600239415237E-2</v>
      </c>
      <c r="M3455">
        <v>1</v>
      </c>
      <c r="O3455">
        <v>-2.73600239415237E-2</v>
      </c>
    </row>
    <row r="3456" spans="1:15" hidden="1" x14ac:dyDescent="0.3">
      <c r="A3456" t="s">
        <v>116</v>
      </c>
      <c r="B3456" t="s">
        <v>220</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116</v>
      </c>
      <c r="B3457" t="s">
        <v>201</v>
      </c>
      <c r="C3457">
        <v>0</v>
      </c>
      <c r="D3457">
        <v>4</v>
      </c>
      <c r="E3457">
        <v>11</v>
      </c>
      <c r="F3457">
        <v>202</v>
      </c>
      <c r="G3457">
        <v>217</v>
      </c>
      <c r="H3457">
        <v>11</v>
      </c>
      <c r="I3457">
        <v>4</v>
      </c>
      <c r="J3457">
        <v>0.35738959391717101</v>
      </c>
      <c r="L3457">
        <v>-3.1666708649073297E-2</v>
      </c>
      <c r="M3457">
        <v>1</v>
      </c>
      <c r="O3457">
        <v>-3.1666708649073297E-2</v>
      </c>
    </row>
    <row r="3458" spans="1:15" hidden="1" x14ac:dyDescent="0.3">
      <c r="A3458" t="s">
        <v>116</v>
      </c>
      <c r="B3458" t="s">
        <v>279</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116</v>
      </c>
      <c r="B3459" t="s">
        <v>262</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116</v>
      </c>
      <c r="B3460" t="s">
        <v>321</v>
      </c>
      <c r="C3460">
        <v>0</v>
      </c>
      <c r="D3460">
        <v>1</v>
      </c>
      <c r="E3460">
        <v>11</v>
      </c>
      <c r="F3460">
        <v>205</v>
      </c>
      <c r="G3460">
        <v>217</v>
      </c>
      <c r="H3460">
        <v>11</v>
      </c>
      <c r="I3460">
        <v>1</v>
      </c>
      <c r="J3460">
        <v>0.19837015644199599</v>
      </c>
      <c r="L3460">
        <v>-1.5723016016341299E-2</v>
      </c>
      <c r="M3460">
        <v>1</v>
      </c>
      <c r="O3460">
        <v>-1.5723016016341299E-2</v>
      </c>
    </row>
    <row r="3461" spans="1:15" hidden="1" x14ac:dyDescent="0.3">
      <c r="A3461" t="s">
        <v>116</v>
      </c>
      <c r="B3461" t="s">
        <v>215</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116</v>
      </c>
      <c r="B3462" t="s">
        <v>253</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116</v>
      </c>
      <c r="B3463" t="s">
        <v>341</v>
      </c>
      <c r="C3463">
        <v>0</v>
      </c>
      <c r="D3463">
        <v>1</v>
      </c>
      <c r="E3463">
        <v>11</v>
      </c>
      <c r="F3463">
        <v>205</v>
      </c>
      <c r="G3463">
        <v>217</v>
      </c>
      <c r="H3463">
        <v>11</v>
      </c>
      <c r="I3463">
        <v>1</v>
      </c>
      <c r="J3463">
        <v>0.19837015644199599</v>
      </c>
      <c r="L3463">
        <v>-1.5723016016341299E-2</v>
      </c>
      <c r="M3463">
        <v>1</v>
      </c>
      <c r="O3463">
        <v>-1.5723016016341299E-2</v>
      </c>
    </row>
    <row r="3464" spans="1:15" hidden="1" x14ac:dyDescent="0.3">
      <c r="A3464" t="s">
        <v>116</v>
      </c>
      <c r="B3464" t="s">
        <v>214</v>
      </c>
      <c r="C3464">
        <v>0</v>
      </c>
      <c r="D3464">
        <v>3</v>
      </c>
      <c r="E3464">
        <v>11</v>
      </c>
      <c r="F3464">
        <v>203</v>
      </c>
      <c r="G3464">
        <v>217</v>
      </c>
      <c r="H3464">
        <v>11</v>
      </c>
      <c r="I3464">
        <v>3</v>
      </c>
      <c r="J3464">
        <v>0.318167220875399</v>
      </c>
      <c r="L3464">
        <v>-2.73600239415237E-2</v>
      </c>
      <c r="M3464">
        <v>1</v>
      </c>
      <c r="O3464">
        <v>-2.73600239415237E-2</v>
      </c>
    </row>
    <row r="3465" spans="1:15" hidden="1" x14ac:dyDescent="0.3">
      <c r="A3465" t="s">
        <v>116</v>
      </c>
      <c r="B3465" t="s">
        <v>352</v>
      </c>
      <c r="C3465">
        <v>0</v>
      </c>
      <c r="D3465">
        <v>1</v>
      </c>
      <c r="E3465">
        <v>11</v>
      </c>
      <c r="F3465">
        <v>205</v>
      </c>
      <c r="G3465">
        <v>217</v>
      </c>
      <c r="H3465">
        <v>11</v>
      </c>
      <c r="I3465">
        <v>1</v>
      </c>
      <c r="J3465">
        <v>0.19837015644199599</v>
      </c>
      <c r="L3465">
        <v>-1.5723016016341299E-2</v>
      </c>
      <c r="M3465">
        <v>1</v>
      </c>
      <c r="O3465">
        <v>-1.5723016016341299E-2</v>
      </c>
    </row>
    <row r="3466" spans="1:15" x14ac:dyDescent="0.3">
      <c r="A3466" t="s">
        <v>116</v>
      </c>
      <c r="B3466" t="s">
        <v>169</v>
      </c>
      <c r="C3466">
        <v>0</v>
      </c>
      <c r="D3466">
        <v>2</v>
      </c>
      <c r="E3466">
        <v>11</v>
      </c>
      <c r="F3466">
        <v>204</v>
      </c>
      <c r="G3466">
        <v>217</v>
      </c>
      <c r="H3466">
        <v>11</v>
      </c>
      <c r="I3466">
        <v>2</v>
      </c>
      <c r="J3466">
        <v>0.26852657159596099</v>
      </c>
      <c r="L3466">
        <v>-2.22873534381808E-2</v>
      </c>
      <c r="M3466">
        <v>1</v>
      </c>
      <c r="O3466">
        <v>-2.22873534381808E-2</v>
      </c>
    </row>
    <row r="3467" spans="1:15" x14ac:dyDescent="0.3">
      <c r="A3467" t="s">
        <v>116</v>
      </c>
      <c r="B3467" t="s">
        <v>175</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116</v>
      </c>
      <c r="B3468" t="s">
        <v>340</v>
      </c>
      <c r="C3468">
        <v>0</v>
      </c>
      <c r="D3468">
        <v>1</v>
      </c>
      <c r="E3468">
        <v>11</v>
      </c>
      <c r="F3468">
        <v>205</v>
      </c>
      <c r="G3468">
        <v>217</v>
      </c>
      <c r="H3468">
        <v>11</v>
      </c>
      <c r="I3468">
        <v>1</v>
      </c>
      <c r="J3468">
        <v>0.19837015644199599</v>
      </c>
      <c r="L3468">
        <v>-1.5723016016341299E-2</v>
      </c>
      <c r="M3468">
        <v>1</v>
      </c>
      <c r="O3468">
        <v>-1.5723016016341299E-2</v>
      </c>
    </row>
    <row r="3469" spans="1:15" hidden="1" x14ac:dyDescent="0.3">
      <c r="A3469" t="s">
        <v>116</v>
      </c>
      <c r="B3469" t="s">
        <v>190</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116</v>
      </c>
      <c r="B3470" t="s">
        <v>346</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116</v>
      </c>
      <c r="B3471" t="s">
        <v>309</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116</v>
      </c>
      <c r="B3472" t="s">
        <v>148</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116</v>
      </c>
      <c r="B3473" t="s">
        <v>173</v>
      </c>
      <c r="C3473">
        <v>0</v>
      </c>
      <c r="D3473">
        <v>2</v>
      </c>
      <c r="E3473">
        <v>11</v>
      </c>
      <c r="F3473">
        <v>204</v>
      </c>
      <c r="G3473">
        <v>217</v>
      </c>
      <c r="H3473">
        <v>11</v>
      </c>
      <c r="I3473">
        <v>2</v>
      </c>
      <c r="J3473">
        <v>0.26852657159596099</v>
      </c>
      <c r="L3473">
        <v>-2.22873534381808E-2</v>
      </c>
      <c r="M3473">
        <v>1</v>
      </c>
      <c r="O3473">
        <v>-2.22873534381808E-2</v>
      </c>
    </row>
    <row r="3474" spans="1:15" hidden="1" x14ac:dyDescent="0.3">
      <c r="A3474" t="s">
        <v>116</v>
      </c>
      <c r="B3474" t="s">
        <v>217</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116</v>
      </c>
      <c r="B3475" t="s">
        <v>348</v>
      </c>
      <c r="C3475">
        <v>0</v>
      </c>
      <c r="D3475">
        <v>1</v>
      </c>
      <c r="E3475">
        <v>11</v>
      </c>
      <c r="F3475">
        <v>205</v>
      </c>
      <c r="G3475">
        <v>217</v>
      </c>
      <c r="H3475">
        <v>11</v>
      </c>
      <c r="I3475">
        <v>1</v>
      </c>
      <c r="J3475">
        <v>0.19837015644199599</v>
      </c>
      <c r="L3475">
        <v>-1.5723016016341299E-2</v>
      </c>
      <c r="M3475">
        <v>1</v>
      </c>
      <c r="O3475">
        <v>-1.5723016016341299E-2</v>
      </c>
    </row>
    <row r="3476" spans="1:15" hidden="1" x14ac:dyDescent="0.3">
      <c r="A3476" t="s">
        <v>116</v>
      </c>
      <c r="B3476" t="s">
        <v>222</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116</v>
      </c>
      <c r="B3477" t="s">
        <v>269</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116</v>
      </c>
      <c r="B3478" t="s">
        <v>349</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116</v>
      </c>
      <c r="B3479" t="s">
        <v>274</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116</v>
      </c>
      <c r="B3480" t="s">
        <v>316</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116</v>
      </c>
      <c r="B3481" t="s">
        <v>350</v>
      </c>
      <c r="C3481">
        <v>0</v>
      </c>
      <c r="D3481">
        <v>1</v>
      </c>
      <c r="E3481">
        <v>11</v>
      </c>
      <c r="F3481">
        <v>205</v>
      </c>
      <c r="G3481">
        <v>217</v>
      </c>
      <c r="H3481">
        <v>11</v>
      </c>
      <c r="I3481">
        <v>1</v>
      </c>
      <c r="J3481">
        <v>0.19837015644199599</v>
      </c>
      <c r="L3481">
        <v>-1.5723016016341299E-2</v>
      </c>
      <c r="M3481">
        <v>1</v>
      </c>
      <c r="O3481">
        <v>-1.5723016016341299E-2</v>
      </c>
    </row>
    <row r="3482" spans="1:15" hidden="1" x14ac:dyDescent="0.3">
      <c r="A3482" t="s">
        <v>116</v>
      </c>
      <c r="B3482" t="s">
        <v>218</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116</v>
      </c>
      <c r="B3483" t="s">
        <v>261</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116</v>
      </c>
      <c r="B3484" t="s">
        <v>277</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116</v>
      </c>
      <c r="B3485" t="s">
        <v>251</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116</v>
      </c>
      <c r="B3486" t="s">
        <v>259</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116</v>
      </c>
      <c r="B3487" t="s">
        <v>329</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116</v>
      </c>
      <c r="B3488" t="s">
        <v>360</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116</v>
      </c>
      <c r="B3489" t="s">
        <v>358</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116</v>
      </c>
      <c r="B3490" t="s">
        <v>312</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116</v>
      </c>
      <c r="B3491" t="s">
        <v>361</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116</v>
      </c>
      <c r="B3492" t="s">
        <v>288</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116</v>
      </c>
      <c r="B3493" t="s">
        <v>306</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116</v>
      </c>
      <c r="B3494" t="s">
        <v>345</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116</v>
      </c>
      <c r="B3495" t="s">
        <v>267</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116</v>
      </c>
      <c r="B3496" t="s">
        <v>194</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116</v>
      </c>
      <c r="B3497" t="s">
        <v>328</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116</v>
      </c>
      <c r="B3498" t="s">
        <v>293</v>
      </c>
      <c r="C3498">
        <v>0</v>
      </c>
      <c r="D3498">
        <v>2</v>
      </c>
      <c r="E3498">
        <v>11</v>
      </c>
      <c r="F3498">
        <v>204</v>
      </c>
      <c r="G3498">
        <v>217</v>
      </c>
      <c r="H3498">
        <v>11</v>
      </c>
      <c r="I3498">
        <v>2</v>
      </c>
      <c r="J3498">
        <v>0.26852657159596099</v>
      </c>
      <c r="L3498">
        <v>-2.22873534381808E-2</v>
      </c>
      <c r="M3498">
        <v>1</v>
      </c>
      <c r="O3498">
        <v>-2.22873534381808E-2</v>
      </c>
    </row>
    <row r="3499" spans="1:15" hidden="1" x14ac:dyDescent="0.3">
      <c r="A3499" t="s">
        <v>116</v>
      </c>
      <c r="B3499" t="s">
        <v>216</v>
      </c>
      <c r="C3499">
        <v>0</v>
      </c>
      <c r="D3499">
        <v>3</v>
      </c>
      <c r="E3499">
        <v>11</v>
      </c>
      <c r="F3499">
        <v>203</v>
      </c>
      <c r="G3499">
        <v>217</v>
      </c>
      <c r="H3499">
        <v>11</v>
      </c>
      <c r="I3499">
        <v>3</v>
      </c>
      <c r="J3499">
        <v>0.318167220875399</v>
      </c>
      <c r="L3499">
        <v>-2.73600239415237E-2</v>
      </c>
      <c r="M3499">
        <v>1</v>
      </c>
      <c r="O3499">
        <v>-2.73600239415237E-2</v>
      </c>
    </row>
    <row r="3500" spans="1:15" hidden="1" x14ac:dyDescent="0.3">
      <c r="A3500" t="s">
        <v>116</v>
      </c>
      <c r="B3500" t="s">
        <v>264</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116</v>
      </c>
      <c r="B3501" t="s">
        <v>359</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116</v>
      </c>
      <c r="B3502" t="s">
        <v>313</v>
      </c>
      <c r="C3502">
        <v>0</v>
      </c>
      <c r="D3502">
        <v>1</v>
      </c>
      <c r="E3502">
        <v>11</v>
      </c>
      <c r="F3502">
        <v>205</v>
      </c>
      <c r="G3502">
        <v>217</v>
      </c>
      <c r="H3502">
        <v>11</v>
      </c>
      <c r="I3502">
        <v>1</v>
      </c>
      <c r="J3502">
        <v>0.19837015644199599</v>
      </c>
      <c r="L3502">
        <v>-1.5723016016341299E-2</v>
      </c>
      <c r="M3502">
        <v>1</v>
      </c>
      <c r="O3502">
        <v>-1.5723016016341299E-2</v>
      </c>
    </row>
    <row r="3503" spans="1:15" hidden="1" x14ac:dyDescent="0.3">
      <c r="A3503" t="s">
        <v>116</v>
      </c>
      <c r="B3503" t="s">
        <v>331</v>
      </c>
      <c r="C3503">
        <v>0</v>
      </c>
      <c r="D3503">
        <v>2</v>
      </c>
      <c r="E3503">
        <v>11</v>
      </c>
      <c r="F3503">
        <v>204</v>
      </c>
      <c r="G3503">
        <v>217</v>
      </c>
      <c r="H3503">
        <v>11</v>
      </c>
      <c r="I3503">
        <v>2</v>
      </c>
      <c r="J3503">
        <v>0.26852657159596099</v>
      </c>
      <c r="L3503">
        <v>-2.22873534381808E-2</v>
      </c>
      <c r="M3503">
        <v>1</v>
      </c>
      <c r="O3503">
        <v>-2.22873534381808E-2</v>
      </c>
    </row>
    <row r="3504" spans="1:15" hidden="1" x14ac:dyDescent="0.3">
      <c r="A3504" t="s">
        <v>116</v>
      </c>
      <c r="B3504" t="s">
        <v>285</v>
      </c>
      <c r="C3504">
        <v>0</v>
      </c>
      <c r="D3504">
        <v>1</v>
      </c>
      <c r="E3504">
        <v>11</v>
      </c>
      <c r="F3504">
        <v>205</v>
      </c>
      <c r="G3504">
        <v>217</v>
      </c>
      <c r="H3504">
        <v>11</v>
      </c>
      <c r="I3504">
        <v>1</v>
      </c>
      <c r="J3504">
        <v>0.19837015644199599</v>
      </c>
      <c r="L3504">
        <v>-1.5723016016341299E-2</v>
      </c>
      <c r="M3504">
        <v>1</v>
      </c>
      <c r="O3504">
        <v>-1.5723016016341299E-2</v>
      </c>
    </row>
    <row r="3505" spans="1:15" x14ac:dyDescent="0.3">
      <c r="A3505" t="s">
        <v>116</v>
      </c>
      <c r="B3505" t="s">
        <v>152</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116</v>
      </c>
      <c r="B3506" t="s">
        <v>311</v>
      </c>
      <c r="C3506">
        <v>0</v>
      </c>
      <c r="D3506">
        <v>1</v>
      </c>
      <c r="E3506">
        <v>11</v>
      </c>
      <c r="F3506">
        <v>205</v>
      </c>
      <c r="G3506">
        <v>217</v>
      </c>
      <c r="H3506">
        <v>11</v>
      </c>
      <c r="I3506">
        <v>1</v>
      </c>
      <c r="J3506">
        <v>0.19837015644199599</v>
      </c>
      <c r="L3506">
        <v>-1.5723016016341299E-2</v>
      </c>
      <c r="M3506">
        <v>1</v>
      </c>
      <c r="O3506">
        <v>-1.5723016016341299E-2</v>
      </c>
    </row>
    <row r="3507" spans="1:15" hidden="1" x14ac:dyDescent="0.3">
      <c r="A3507" t="s">
        <v>116</v>
      </c>
      <c r="B3507" t="s">
        <v>213</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116</v>
      </c>
      <c r="B3508" t="s">
        <v>330</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116</v>
      </c>
      <c r="B3509" t="s">
        <v>252</v>
      </c>
      <c r="C3509">
        <v>0</v>
      </c>
      <c r="D3509">
        <v>3</v>
      </c>
      <c r="E3509">
        <v>11</v>
      </c>
      <c r="F3509">
        <v>203</v>
      </c>
      <c r="G3509">
        <v>217</v>
      </c>
      <c r="H3509">
        <v>11</v>
      </c>
      <c r="I3509">
        <v>3</v>
      </c>
      <c r="J3509">
        <v>0.318167220875399</v>
      </c>
      <c r="L3509">
        <v>-2.73600239415237E-2</v>
      </c>
      <c r="M3509">
        <v>1</v>
      </c>
      <c r="O3509">
        <v>-2.73600239415237E-2</v>
      </c>
    </row>
    <row r="3510" spans="1:15" x14ac:dyDescent="0.3">
      <c r="A3510" t="s">
        <v>116</v>
      </c>
      <c r="B3510" t="s">
        <v>170</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116</v>
      </c>
      <c r="B3511" t="s">
        <v>281</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116</v>
      </c>
      <c r="B3512" t="s">
        <v>324</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116</v>
      </c>
      <c r="B3513" t="s">
        <v>278</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116</v>
      </c>
      <c r="B3514" t="s">
        <v>292</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116</v>
      </c>
      <c r="B3515" t="s">
        <v>172</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116</v>
      </c>
      <c r="B3516" t="s">
        <v>323</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116</v>
      </c>
      <c r="B3517" t="s">
        <v>326</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116</v>
      </c>
      <c r="B3518" t="s">
        <v>325</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116</v>
      </c>
      <c r="B3519" t="s">
        <v>256</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116</v>
      </c>
      <c r="B3520" t="s">
        <v>327</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116</v>
      </c>
      <c r="B3521" t="s">
        <v>174</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116</v>
      </c>
      <c r="B3522" t="s">
        <v>260</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116</v>
      </c>
      <c r="B3523" t="s">
        <v>280</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116</v>
      </c>
      <c r="B3524" t="s">
        <v>318</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116</v>
      </c>
      <c r="B3525" t="s">
        <v>244</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116</v>
      </c>
      <c r="B3526" t="s">
        <v>336</v>
      </c>
      <c r="C3526">
        <v>0</v>
      </c>
      <c r="D3526">
        <v>3</v>
      </c>
      <c r="E3526">
        <v>11</v>
      </c>
      <c r="F3526">
        <v>203</v>
      </c>
      <c r="G3526">
        <v>217</v>
      </c>
      <c r="H3526">
        <v>11</v>
      </c>
      <c r="I3526">
        <v>3</v>
      </c>
      <c r="J3526">
        <v>0.318167220875399</v>
      </c>
      <c r="L3526">
        <v>-2.73600239415237E-2</v>
      </c>
      <c r="M3526">
        <v>1</v>
      </c>
      <c r="O3526">
        <v>-2.73600239415237E-2</v>
      </c>
    </row>
    <row r="3527" spans="1:15" x14ac:dyDescent="0.3">
      <c r="A3527" t="s">
        <v>116</v>
      </c>
      <c r="B3527" t="s">
        <v>257</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116</v>
      </c>
      <c r="B3528" t="s">
        <v>307</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116</v>
      </c>
      <c r="B3529" t="s">
        <v>286</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116</v>
      </c>
      <c r="B3530" t="s">
        <v>198</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116</v>
      </c>
      <c r="B3531" t="s">
        <v>289</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116</v>
      </c>
      <c r="B3532" t="s">
        <v>282</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116</v>
      </c>
      <c r="B3533" t="s">
        <v>291</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118</v>
      </c>
      <c r="B3534" t="s">
        <v>3</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118</v>
      </c>
      <c r="B3535" t="s">
        <v>314</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118</v>
      </c>
      <c r="B3536" t="s">
        <v>357</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118</v>
      </c>
      <c r="B3537" t="s">
        <v>356</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118</v>
      </c>
      <c r="B3538" t="s">
        <v>273</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118</v>
      </c>
      <c r="B3539" t="s">
        <v>242</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118</v>
      </c>
      <c r="B3540" t="s">
        <v>332</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118</v>
      </c>
      <c r="B3541" t="s">
        <v>355</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118</v>
      </c>
      <c r="B3542" t="s">
        <v>335</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118</v>
      </c>
      <c r="B3543" t="s">
        <v>266</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118</v>
      </c>
      <c r="B3544" t="s">
        <v>272</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118</v>
      </c>
      <c r="B3545" t="s">
        <v>310</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118</v>
      </c>
      <c r="B3546" t="s">
        <v>317</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118</v>
      </c>
      <c r="B3547" t="s">
        <v>9</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118</v>
      </c>
      <c r="B3548" t="s">
        <v>362</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118</v>
      </c>
      <c r="B3549" t="s">
        <v>354</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118</v>
      </c>
      <c r="B3550" t="s">
        <v>353</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118</v>
      </c>
      <c r="B3551" t="s">
        <v>363</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118</v>
      </c>
      <c r="B3552" t="s">
        <v>305</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118</v>
      </c>
      <c r="B3553" t="s">
        <v>248</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118</v>
      </c>
      <c r="B3554" t="s">
        <v>342</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118</v>
      </c>
      <c r="B3555" t="s">
        <v>315</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118</v>
      </c>
      <c r="B3556" t="s">
        <v>247</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118</v>
      </c>
      <c r="B3557" t="s">
        <v>334</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118</v>
      </c>
      <c r="B3558" t="s">
        <v>300</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118</v>
      </c>
      <c r="B3559" t="s">
        <v>265</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118</v>
      </c>
      <c r="B3560" t="s">
        <v>271</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118</v>
      </c>
      <c r="B3561" t="s">
        <v>255</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118</v>
      </c>
      <c r="B3562" t="s">
        <v>296</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118</v>
      </c>
      <c r="B3563" t="s">
        <v>308</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118</v>
      </c>
      <c r="B3564" t="s">
        <v>319</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118</v>
      </c>
      <c r="B3565" t="s">
        <v>343</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118</v>
      </c>
      <c r="B3566" t="s">
        <v>258</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118</v>
      </c>
      <c r="B3567" t="s">
        <v>344</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118</v>
      </c>
      <c r="B3568" t="s">
        <v>276</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118</v>
      </c>
      <c r="B3569" t="s">
        <v>333</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118</v>
      </c>
      <c r="B3570" t="s">
        <v>263</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118</v>
      </c>
      <c r="B3571" t="s">
        <v>254</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118</v>
      </c>
      <c r="B3572" t="s">
        <v>320</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118</v>
      </c>
      <c r="B3573" t="s">
        <v>275</v>
      </c>
      <c r="C3573">
        <v>0</v>
      </c>
      <c r="D3573">
        <v>11</v>
      </c>
      <c r="E3573">
        <v>8</v>
      </c>
      <c r="F3573">
        <v>198</v>
      </c>
      <c r="G3573">
        <v>217</v>
      </c>
      <c r="H3573">
        <v>8</v>
      </c>
      <c r="I3573">
        <v>11</v>
      </c>
      <c r="J3573">
        <v>0.46494662353884098</v>
      </c>
      <c r="L3573">
        <v>-4.5210007890842403E-2</v>
      </c>
      <c r="M3573">
        <v>1</v>
      </c>
      <c r="O3573">
        <v>-4.5210007890842403E-2</v>
      </c>
    </row>
    <row r="3574" spans="1:15" hidden="1" x14ac:dyDescent="0.3">
      <c r="A3574" t="s">
        <v>118</v>
      </c>
      <c r="B3574" t="s">
        <v>221</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118</v>
      </c>
      <c r="B3575" t="s">
        <v>322</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118</v>
      </c>
      <c r="B3576" t="s">
        <v>303</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118</v>
      </c>
      <c r="B3577" t="s">
        <v>302</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118</v>
      </c>
      <c r="B3578" t="s">
        <v>147</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118</v>
      </c>
      <c r="B3579" t="s">
        <v>284</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118</v>
      </c>
      <c r="B3580" t="s">
        <v>299</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118</v>
      </c>
      <c r="B3581" t="s">
        <v>301</v>
      </c>
      <c r="C3581">
        <v>0</v>
      </c>
      <c r="D3581">
        <v>1</v>
      </c>
      <c r="E3581">
        <v>8</v>
      </c>
      <c r="F3581">
        <v>208</v>
      </c>
      <c r="G3581">
        <v>217</v>
      </c>
      <c r="H3581">
        <v>8</v>
      </c>
      <c r="I3581">
        <v>1</v>
      </c>
      <c r="J3581">
        <v>0.17185068465818601</v>
      </c>
      <c r="L3581">
        <v>-1.33120510638478E-2</v>
      </c>
      <c r="M3581">
        <v>1</v>
      </c>
      <c r="O3581">
        <v>-1.33120510638478E-2</v>
      </c>
    </row>
    <row r="3582" spans="1:15" hidden="1" x14ac:dyDescent="0.3">
      <c r="A3582" t="s">
        <v>118</v>
      </c>
      <c r="B3582" t="s">
        <v>351</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118</v>
      </c>
      <c r="B3583" t="s">
        <v>337</v>
      </c>
      <c r="C3583">
        <v>0</v>
      </c>
      <c r="D3583">
        <v>3</v>
      </c>
      <c r="E3583">
        <v>8</v>
      </c>
      <c r="F3583">
        <v>206</v>
      </c>
      <c r="G3583">
        <v>217</v>
      </c>
      <c r="H3583">
        <v>8</v>
      </c>
      <c r="I3583">
        <v>3</v>
      </c>
      <c r="J3583">
        <v>0.27862677921159301</v>
      </c>
      <c r="L3583">
        <v>-2.3164641913429498E-2</v>
      </c>
      <c r="M3583">
        <v>1</v>
      </c>
      <c r="O3583">
        <v>-2.3164641913429498E-2</v>
      </c>
    </row>
    <row r="3584" spans="1:15" hidden="1" x14ac:dyDescent="0.3">
      <c r="A3584" t="s">
        <v>118</v>
      </c>
      <c r="B3584" t="s">
        <v>212</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118</v>
      </c>
      <c r="B3585" t="s">
        <v>250</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118</v>
      </c>
      <c r="B3586" t="s">
        <v>246</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118</v>
      </c>
      <c r="B3587" t="s">
        <v>347</v>
      </c>
      <c r="C3587">
        <v>0</v>
      </c>
      <c r="D3587">
        <v>1</v>
      </c>
      <c r="E3587">
        <v>8</v>
      </c>
      <c r="F3587">
        <v>208</v>
      </c>
      <c r="G3587">
        <v>217</v>
      </c>
      <c r="H3587">
        <v>8</v>
      </c>
      <c r="I3587">
        <v>1</v>
      </c>
      <c r="J3587">
        <v>0.17185068465818601</v>
      </c>
      <c r="L3587">
        <v>-1.33120510638478E-2</v>
      </c>
      <c r="M3587">
        <v>1</v>
      </c>
      <c r="O3587">
        <v>-1.33120510638478E-2</v>
      </c>
    </row>
    <row r="3588" spans="1:15" hidden="1" x14ac:dyDescent="0.3">
      <c r="A3588" t="s">
        <v>118</v>
      </c>
      <c r="B3588" t="s">
        <v>153</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118</v>
      </c>
      <c r="B3589" t="s">
        <v>283</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118</v>
      </c>
      <c r="B3590" t="s">
        <v>5</v>
      </c>
      <c r="C3590">
        <v>0</v>
      </c>
      <c r="D3590">
        <v>3</v>
      </c>
      <c r="E3590">
        <v>8</v>
      </c>
      <c r="F3590">
        <v>206</v>
      </c>
      <c r="G3590">
        <v>217</v>
      </c>
      <c r="H3590">
        <v>8</v>
      </c>
      <c r="I3590">
        <v>3</v>
      </c>
      <c r="J3590">
        <v>0.27862677921159301</v>
      </c>
      <c r="L3590">
        <v>-2.3164641913429498E-2</v>
      </c>
      <c r="M3590">
        <v>1</v>
      </c>
      <c r="O3590">
        <v>-2.3164641913429498E-2</v>
      </c>
    </row>
    <row r="3591" spans="1:15" hidden="1" x14ac:dyDescent="0.3">
      <c r="A3591" t="s">
        <v>118</v>
      </c>
      <c r="B3591" t="s">
        <v>219</v>
      </c>
      <c r="C3591">
        <v>0</v>
      </c>
      <c r="D3591">
        <v>4</v>
      </c>
      <c r="E3591">
        <v>8</v>
      </c>
      <c r="F3591">
        <v>205</v>
      </c>
      <c r="G3591">
        <v>217</v>
      </c>
      <c r="H3591">
        <v>8</v>
      </c>
      <c r="I3591">
        <v>4</v>
      </c>
      <c r="J3591">
        <v>0.31416871149888498</v>
      </c>
      <c r="L3591">
        <v>-2.6810940224339299E-2</v>
      </c>
      <c r="M3591">
        <v>1</v>
      </c>
      <c r="O3591">
        <v>-2.6810940224339299E-2</v>
      </c>
    </row>
    <row r="3592" spans="1:15" hidden="1" x14ac:dyDescent="0.3">
      <c r="A3592" t="s">
        <v>118</v>
      </c>
      <c r="B3592" t="s">
        <v>220</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118</v>
      </c>
      <c r="B3593" t="s">
        <v>201</v>
      </c>
      <c r="C3593">
        <v>0</v>
      </c>
      <c r="D3593">
        <v>4</v>
      </c>
      <c r="E3593">
        <v>8</v>
      </c>
      <c r="F3593">
        <v>205</v>
      </c>
      <c r="G3593">
        <v>217</v>
      </c>
      <c r="H3593">
        <v>8</v>
      </c>
      <c r="I3593">
        <v>4</v>
      </c>
      <c r="J3593">
        <v>0.31416871149888498</v>
      </c>
      <c r="L3593">
        <v>-2.6810940224339299E-2</v>
      </c>
      <c r="M3593">
        <v>1</v>
      </c>
      <c r="O3593">
        <v>-2.6810940224339299E-2</v>
      </c>
    </row>
    <row r="3594" spans="1:15" hidden="1" x14ac:dyDescent="0.3">
      <c r="A3594" t="s">
        <v>118</v>
      </c>
      <c r="B3594" t="s">
        <v>279</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118</v>
      </c>
      <c r="B3595" t="s">
        <v>262</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118</v>
      </c>
      <c r="B3596" t="s">
        <v>321</v>
      </c>
      <c r="C3596">
        <v>0</v>
      </c>
      <c r="D3596">
        <v>1</v>
      </c>
      <c r="E3596">
        <v>8</v>
      </c>
      <c r="F3596">
        <v>208</v>
      </c>
      <c r="G3596">
        <v>217</v>
      </c>
      <c r="H3596">
        <v>8</v>
      </c>
      <c r="I3596">
        <v>1</v>
      </c>
      <c r="J3596">
        <v>0.17185068465818601</v>
      </c>
      <c r="L3596">
        <v>-1.33120510638478E-2</v>
      </c>
      <c r="M3596">
        <v>1</v>
      </c>
      <c r="O3596">
        <v>-1.33120510638478E-2</v>
      </c>
    </row>
    <row r="3597" spans="1:15" hidden="1" x14ac:dyDescent="0.3">
      <c r="A3597" t="s">
        <v>118</v>
      </c>
      <c r="B3597" t="s">
        <v>215</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118</v>
      </c>
      <c r="B3598" t="s">
        <v>253</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118</v>
      </c>
      <c r="B3599" t="s">
        <v>341</v>
      </c>
      <c r="C3599">
        <v>0</v>
      </c>
      <c r="D3599">
        <v>1</v>
      </c>
      <c r="E3599">
        <v>8</v>
      </c>
      <c r="F3599">
        <v>208</v>
      </c>
      <c r="G3599">
        <v>217</v>
      </c>
      <c r="H3599">
        <v>8</v>
      </c>
      <c r="I3599">
        <v>1</v>
      </c>
      <c r="J3599">
        <v>0.17185068465818601</v>
      </c>
      <c r="L3599">
        <v>-1.33120510638478E-2</v>
      </c>
      <c r="M3599">
        <v>1</v>
      </c>
      <c r="O3599">
        <v>-1.33120510638478E-2</v>
      </c>
    </row>
    <row r="3600" spans="1:15" hidden="1" x14ac:dyDescent="0.3">
      <c r="A3600" t="s">
        <v>118</v>
      </c>
      <c r="B3600" t="s">
        <v>214</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118</v>
      </c>
      <c r="B3601" t="s">
        <v>168</v>
      </c>
      <c r="C3601">
        <v>0</v>
      </c>
      <c r="D3601">
        <v>5</v>
      </c>
      <c r="E3601">
        <v>8</v>
      </c>
      <c r="F3601">
        <v>204</v>
      </c>
      <c r="G3601">
        <v>217</v>
      </c>
      <c r="H3601">
        <v>8</v>
      </c>
      <c r="I3601">
        <v>5</v>
      </c>
      <c r="J3601">
        <v>0.34402789995111899</v>
      </c>
      <c r="L3601">
        <v>-3.0046156302116E-2</v>
      </c>
      <c r="M3601">
        <v>1</v>
      </c>
      <c r="O3601">
        <v>-3.0046156302116E-2</v>
      </c>
    </row>
    <row r="3602" spans="1:15" hidden="1" x14ac:dyDescent="0.3">
      <c r="A3602" t="s">
        <v>118</v>
      </c>
      <c r="B3602" t="s">
        <v>352</v>
      </c>
      <c r="C3602">
        <v>0</v>
      </c>
      <c r="D3602">
        <v>1</v>
      </c>
      <c r="E3602">
        <v>8</v>
      </c>
      <c r="F3602">
        <v>208</v>
      </c>
      <c r="G3602">
        <v>217</v>
      </c>
      <c r="H3602">
        <v>8</v>
      </c>
      <c r="I3602">
        <v>1</v>
      </c>
      <c r="J3602">
        <v>0.17185068465818601</v>
      </c>
      <c r="L3602">
        <v>-1.33120510638478E-2</v>
      </c>
      <c r="M3602">
        <v>1</v>
      </c>
      <c r="O3602">
        <v>-1.33120510638478E-2</v>
      </c>
    </row>
    <row r="3603" spans="1:15" x14ac:dyDescent="0.3">
      <c r="A3603" t="s">
        <v>118</v>
      </c>
      <c r="B3603" t="s">
        <v>169</v>
      </c>
      <c r="C3603">
        <v>0</v>
      </c>
      <c r="D3603">
        <v>2</v>
      </c>
      <c r="E3603">
        <v>8</v>
      </c>
      <c r="F3603">
        <v>207</v>
      </c>
      <c r="G3603">
        <v>217</v>
      </c>
      <c r="H3603">
        <v>8</v>
      </c>
      <c r="I3603">
        <v>2</v>
      </c>
      <c r="J3603">
        <v>0.23407166163535101</v>
      </c>
      <c r="L3603">
        <v>-1.8869813955460599E-2</v>
      </c>
      <c r="M3603">
        <v>1</v>
      </c>
      <c r="O3603">
        <v>-1.8869813955460599E-2</v>
      </c>
    </row>
    <row r="3604" spans="1:15" x14ac:dyDescent="0.3">
      <c r="A3604" t="s">
        <v>118</v>
      </c>
      <c r="B3604" t="s">
        <v>175</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118</v>
      </c>
      <c r="B3605" t="s">
        <v>340</v>
      </c>
      <c r="C3605">
        <v>0</v>
      </c>
      <c r="D3605">
        <v>1</v>
      </c>
      <c r="E3605">
        <v>8</v>
      </c>
      <c r="F3605">
        <v>208</v>
      </c>
      <c r="G3605">
        <v>217</v>
      </c>
      <c r="H3605">
        <v>8</v>
      </c>
      <c r="I3605">
        <v>1</v>
      </c>
      <c r="J3605">
        <v>0.17185068465818601</v>
      </c>
      <c r="L3605">
        <v>-1.33120510638478E-2</v>
      </c>
      <c r="M3605">
        <v>1</v>
      </c>
      <c r="O3605">
        <v>-1.33120510638478E-2</v>
      </c>
    </row>
    <row r="3606" spans="1:15" hidden="1" x14ac:dyDescent="0.3">
      <c r="A3606" t="s">
        <v>118</v>
      </c>
      <c r="B3606" t="s">
        <v>190</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118</v>
      </c>
      <c r="B3607" t="s">
        <v>346</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118</v>
      </c>
      <c r="B3608" t="s">
        <v>309</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118</v>
      </c>
      <c r="B3609" t="s">
        <v>148</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118</v>
      </c>
      <c r="B3610" t="s">
        <v>173</v>
      </c>
      <c r="C3610">
        <v>0</v>
      </c>
      <c r="D3610">
        <v>2</v>
      </c>
      <c r="E3610">
        <v>8</v>
      </c>
      <c r="F3610">
        <v>207</v>
      </c>
      <c r="G3610">
        <v>217</v>
      </c>
      <c r="H3610">
        <v>8</v>
      </c>
      <c r="I3610">
        <v>2</v>
      </c>
      <c r="J3610">
        <v>0.23407166163535101</v>
      </c>
      <c r="L3610">
        <v>-1.8869813955460599E-2</v>
      </c>
      <c r="M3610">
        <v>1</v>
      </c>
      <c r="O3610">
        <v>-1.8869813955460599E-2</v>
      </c>
    </row>
    <row r="3611" spans="1:15" hidden="1" x14ac:dyDescent="0.3">
      <c r="A3611" t="s">
        <v>118</v>
      </c>
      <c r="B3611" t="s">
        <v>217</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118</v>
      </c>
      <c r="B3612" t="s">
        <v>348</v>
      </c>
      <c r="C3612">
        <v>0</v>
      </c>
      <c r="D3612">
        <v>1</v>
      </c>
      <c r="E3612">
        <v>8</v>
      </c>
      <c r="F3612">
        <v>208</v>
      </c>
      <c r="G3612">
        <v>217</v>
      </c>
      <c r="H3612">
        <v>8</v>
      </c>
      <c r="I3612">
        <v>1</v>
      </c>
      <c r="J3612">
        <v>0.17185068465818601</v>
      </c>
      <c r="L3612">
        <v>-1.33120510638478E-2</v>
      </c>
      <c r="M3612">
        <v>1</v>
      </c>
      <c r="O3612">
        <v>-1.33120510638478E-2</v>
      </c>
    </row>
    <row r="3613" spans="1:15" hidden="1" x14ac:dyDescent="0.3">
      <c r="A3613" t="s">
        <v>118</v>
      </c>
      <c r="B3613" t="s">
        <v>222</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118</v>
      </c>
      <c r="B3614" t="s">
        <v>269</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118</v>
      </c>
      <c r="B3615" t="s">
        <v>349</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118</v>
      </c>
      <c r="B3616" t="s">
        <v>274</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118</v>
      </c>
      <c r="B3617" t="s">
        <v>316</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118</v>
      </c>
      <c r="B3618" t="s">
        <v>350</v>
      </c>
      <c r="C3618">
        <v>0</v>
      </c>
      <c r="D3618">
        <v>1</v>
      </c>
      <c r="E3618">
        <v>8</v>
      </c>
      <c r="F3618">
        <v>208</v>
      </c>
      <c r="G3618">
        <v>217</v>
      </c>
      <c r="H3618">
        <v>8</v>
      </c>
      <c r="I3618">
        <v>1</v>
      </c>
      <c r="J3618">
        <v>0.17185068465818601</v>
      </c>
      <c r="L3618">
        <v>-1.33120510638478E-2</v>
      </c>
      <c r="M3618">
        <v>1</v>
      </c>
      <c r="O3618">
        <v>-1.33120510638478E-2</v>
      </c>
    </row>
    <row r="3619" spans="1:15" hidden="1" x14ac:dyDescent="0.3">
      <c r="A3619" t="s">
        <v>118</v>
      </c>
      <c r="B3619" t="s">
        <v>218</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118</v>
      </c>
      <c r="B3620" t="s">
        <v>261</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118</v>
      </c>
      <c r="B3621" t="s">
        <v>277</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118</v>
      </c>
      <c r="B3622" t="s">
        <v>329</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118</v>
      </c>
      <c r="B3623" t="s">
        <v>360</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118</v>
      </c>
      <c r="B3624" t="s">
        <v>358</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118</v>
      </c>
      <c r="B3625" t="s">
        <v>312</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118</v>
      </c>
      <c r="B3626" t="s">
        <v>361</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118</v>
      </c>
      <c r="B3627" t="s">
        <v>288</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118</v>
      </c>
      <c r="B3628" t="s">
        <v>306</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118</v>
      </c>
      <c r="B3629" t="s">
        <v>345</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118</v>
      </c>
      <c r="B3630" t="s">
        <v>338</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118</v>
      </c>
      <c r="B3631" t="s">
        <v>328</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118</v>
      </c>
      <c r="B3632" t="s">
        <v>293</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118</v>
      </c>
      <c r="B3633" t="s">
        <v>297</v>
      </c>
      <c r="C3633">
        <v>0</v>
      </c>
      <c r="D3633">
        <v>1</v>
      </c>
      <c r="E3633">
        <v>8</v>
      </c>
      <c r="F3633">
        <v>208</v>
      </c>
      <c r="G3633">
        <v>217</v>
      </c>
      <c r="H3633">
        <v>8</v>
      </c>
      <c r="I3633">
        <v>1</v>
      </c>
      <c r="J3633">
        <v>0.17185068465818601</v>
      </c>
      <c r="L3633">
        <v>-1.33120510638478E-2</v>
      </c>
      <c r="M3633">
        <v>1</v>
      </c>
      <c r="O3633">
        <v>-1.33120510638478E-2</v>
      </c>
    </row>
    <row r="3634" spans="1:15" hidden="1" x14ac:dyDescent="0.3">
      <c r="A3634" t="s">
        <v>118</v>
      </c>
      <c r="B3634" t="s">
        <v>264</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118</v>
      </c>
      <c r="B3635" t="s">
        <v>359</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118</v>
      </c>
      <c r="B3636" t="s">
        <v>313</v>
      </c>
      <c r="C3636">
        <v>0</v>
      </c>
      <c r="D3636">
        <v>1</v>
      </c>
      <c r="E3636">
        <v>8</v>
      </c>
      <c r="F3636">
        <v>208</v>
      </c>
      <c r="G3636">
        <v>217</v>
      </c>
      <c r="H3636">
        <v>8</v>
      </c>
      <c r="I3636">
        <v>1</v>
      </c>
      <c r="J3636">
        <v>0.17185068465818601</v>
      </c>
      <c r="L3636">
        <v>-1.33120510638478E-2</v>
      </c>
      <c r="M3636">
        <v>1</v>
      </c>
      <c r="O3636">
        <v>-1.33120510638478E-2</v>
      </c>
    </row>
    <row r="3637" spans="1:15" hidden="1" x14ac:dyDescent="0.3">
      <c r="A3637" t="s">
        <v>118</v>
      </c>
      <c r="B3637" t="s">
        <v>331</v>
      </c>
      <c r="C3637">
        <v>0</v>
      </c>
      <c r="D3637">
        <v>2</v>
      </c>
      <c r="E3637">
        <v>8</v>
      </c>
      <c r="F3637">
        <v>207</v>
      </c>
      <c r="G3637">
        <v>217</v>
      </c>
      <c r="H3637">
        <v>8</v>
      </c>
      <c r="I3637">
        <v>2</v>
      </c>
      <c r="J3637">
        <v>0.23407166163535101</v>
      </c>
      <c r="L3637">
        <v>-1.8869813955460599E-2</v>
      </c>
      <c r="M3637">
        <v>1</v>
      </c>
      <c r="O3637">
        <v>-1.8869813955460599E-2</v>
      </c>
    </row>
    <row r="3638" spans="1:15" hidden="1" x14ac:dyDescent="0.3">
      <c r="A3638" t="s">
        <v>118</v>
      </c>
      <c r="B3638" t="s">
        <v>285</v>
      </c>
      <c r="C3638">
        <v>0</v>
      </c>
      <c r="D3638">
        <v>1</v>
      </c>
      <c r="E3638">
        <v>8</v>
      </c>
      <c r="F3638">
        <v>208</v>
      </c>
      <c r="G3638">
        <v>217</v>
      </c>
      <c r="H3638">
        <v>8</v>
      </c>
      <c r="I3638">
        <v>1</v>
      </c>
      <c r="J3638">
        <v>0.17185068465818601</v>
      </c>
      <c r="L3638">
        <v>-1.33120510638478E-2</v>
      </c>
      <c r="M3638">
        <v>1</v>
      </c>
      <c r="O3638">
        <v>-1.33120510638478E-2</v>
      </c>
    </row>
    <row r="3639" spans="1:15" x14ac:dyDescent="0.3">
      <c r="A3639" t="s">
        <v>118</v>
      </c>
      <c r="B3639" t="s">
        <v>152</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118</v>
      </c>
      <c r="B3640" t="s">
        <v>311</v>
      </c>
      <c r="C3640">
        <v>0</v>
      </c>
      <c r="D3640">
        <v>1</v>
      </c>
      <c r="E3640">
        <v>8</v>
      </c>
      <c r="F3640">
        <v>208</v>
      </c>
      <c r="G3640">
        <v>217</v>
      </c>
      <c r="H3640">
        <v>8</v>
      </c>
      <c r="I3640">
        <v>1</v>
      </c>
      <c r="J3640">
        <v>0.17185068465818601</v>
      </c>
      <c r="L3640">
        <v>-1.33120510638478E-2</v>
      </c>
      <c r="M3640">
        <v>1</v>
      </c>
      <c r="O3640">
        <v>-1.33120510638478E-2</v>
      </c>
    </row>
    <row r="3641" spans="1:15" hidden="1" x14ac:dyDescent="0.3">
      <c r="A3641" t="s">
        <v>118</v>
      </c>
      <c r="B3641" t="s">
        <v>213</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118</v>
      </c>
      <c r="B3642" t="s">
        <v>330</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118</v>
      </c>
      <c r="B3643" t="s">
        <v>252</v>
      </c>
      <c r="C3643">
        <v>0</v>
      </c>
      <c r="D3643">
        <v>3</v>
      </c>
      <c r="E3643">
        <v>8</v>
      </c>
      <c r="F3643">
        <v>206</v>
      </c>
      <c r="G3643">
        <v>217</v>
      </c>
      <c r="H3643">
        <v>8</v>
      </c>
      <c r="I3643">
        <v>3</v>
      </c>
      <c r="J3643">
        <v>0.27862677921159301</v>
      </c>
      <c r="L3643">
        <v>-2.3164641913429498E-2</v>
      </c>
      <c r="M3643">
        <v>1</v>
      </c>
      <c r="O3643">
        <v>-2.3164641913429498E-2</v>
      </c>
    </row>
    <row r="3644" spans="1:15" x14ac:dyDescent="0.3">
      <c r="A3644" t="s">
        <v>118</v>
      </c>
      <c r="B3644" t="s">
        <v>170</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118</v>
      </c>
      <c r="B3645" t="s">
        <v>281</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118</v>
      </c>
      <c r="B3646" t="s">
        <v>324</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118</v>
      </c>
      <c r="B3647" t="s">
        <v>278</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118</v>
      </c>
      <c r="B3648" t="s">
        <v>292</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118</v>
      </c>
      <c r="B3649" t="s">
        <v>172</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118</v>
      </c>
      <c r="B3650" t="s">
        <v>323</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118</v>
      </c>
      <c r="B3651" t="s">
        <v>326</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118</v>
      </c>
      <c r="B3652" t="s">
        <v>325</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118</v>
      </c>
      <c r="B3653" t="s">
        <v>256</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118</v>
      </c>
      <c r="B3654" t="s">
        <v>243</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118</v>
      </c>
      <c r="B3655" t="s">
        <v>327</v>
      </c>
      <c r="C3655">
        <v>0</v>
      </c>
      <c r="D3655">
        <v>1</v>
      </c>
      <c r="E3655">
        <v>8</v>
      </c>
      <c r="F3655">
        <v>208</v>
      </c>
      <c r="G3655">
        <v>217</v>
      </c>
      <c r="H3655">
        <v>8</v>
      </c>
      <c r="I3655">
        <v>1</v>
      </c>
      <c r="J3655">
        <v>0.17185068465818601</v>
      </c>
      <c r="L3655">
        <v>-1.33120510638478E-2</v>
      </c>
      <c r="M3655">
        <v>1</v>
      </c>
      <c r="O3655">
        <v>-1.33120510638478E-2</v>
      </c>
    </row>
    <row r="3656" spans="1:15" x14ac:dyDescent="0.3">
      <c r="A3656" t="s">
        <v>118</v>
      </c>
      <c r="B3656" t="s">
        <v>174</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118</v>
      </c>
      <c r="B3657" t="s">
        <v>260</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118</v>
      </c>
      <c r="B3658" t="s">
        <v>280</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118</v>
      </c>
      <c r="B3659" t="s">
        <v>318</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118</v>
      </c>
      <c r="B3660" t="s">
        <v>244</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118</v>
      </c>
      <c r="B3661" t="s">
        <v>336</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118</v>
      </c>
      <c r="B3662" t="s">
        <v>304</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118</v>
      </c>
      <c r="B3663" t="s">
        <v>270</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118</v>
      </c>
      <c r="B3664" t="s">
        <v>307</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118</v>
      </c>
      <c r="B3665" t="s">
        <v>286</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118</v>
      </c>
      <c r="B3666" t="s">
        <v>282</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295</v>
      </c>
      <c r="B3667" t="s">
        <v>314</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295</v>
      </c>
      <c r="B3668" t="s">
        <v>357</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295</v>
      </c>
      <c r="B3669" t="s">
        <v>356</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295</v>
      </c>
      <c r="B3670" t="s">
        <v>273</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295</v>
      </c>
      <c r="B3671" t="s">
        <v>242</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295</v>
      </c>
      <c r="B3672" t="s">
        <v>332</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295</v>
      </c>
      <c r="B3673" t="s">
        <v>355</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295</v>
      </c>
      <c r="B3674" t="s">
        <v>335</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295</v>
      </c>
      <c r="B3675" t="s">
        <v>266</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295</v>
      </c>
      <c r="B3676" t="s">
        <v>272</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295</v>
      </c>
      <c r="B3677" t="s">
        <v>310</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295</v>
      </c>
      <c r="B3678" t="s">
        <v>317</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295</v>
      </c>
      <c r="B3679" t="s">
        <v>9</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295</v>
      </c>
      <c r="B3680" t="s">
        <v>362</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295</v>
      </c>
      <c r="B3681" t="s">
        <v>354</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295</v>
      </c>
      <c r="B3682" t="s">
        <v>353</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295</v>
      </c>
      <c r="B3683" t="s">
        <v>363</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295</v>
      </c>
      <c r="B3684" t="s">
        <v>305</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295</v>
      </c>
      <c r="B3685" t="s">
        <v>339</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295</v>
      </c>
      <c r="B3686" t="s">
        <v>248</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295</v>
      </c>
      <c r="B3687" t="s">
        <v>342</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295</v>
      </c>
      <c r="B3688" t="s">
        <v>315</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295</v>
      </c>
      <c r="B3689" t="s">
        <v>334</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295</v>
      </c>
      <c r="B3690" t="s">
        <v>300</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295</v>
      </c>
      <c r="B3691" t="s">
        <v>265</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295</v>
      </c>
      <c r="B3692" t="s">
        <v>271</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295</v>
      </c>
      <c r="B3693" t="s">
        <v>255</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295</v>
      </c>
      <c r="B3694" t="s">
        <v>296</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295</v>
      </c>
      <c r="B3695" t="s">
        <v>249</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295</v>
      </c>
      <c r="B3696" t="s">
        <v>308</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295</v>
      </c>
      <c r="B3697" t="s">
        <v>319</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295</v>
      </c>
      <c r="B3698" t="s">
        <v>245</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295</v>
      </c>
      <c r="B3699" t="s">
        <v>240</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295</v>
      </c>
      <c r="B3700" t="s">
        <v>343</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295</v>
      </c>
      <c r="B3701" t="s">
        <v>344</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295</v>
      </c>
      <c r="B3702" t="s">
        <v>276</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295</v>
      </c>
      <c r="B3703" t="s">
        <v>333</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295</v>
      </c>
      <c r="B3704" t="s">
        <v>254</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295</v>
      </c>
      <c r="B3705" t="s">
        <v>320</v>
      </c>
      <c r="C3705">
        <v>0</v>
      </c>
      <c r="D3705">
        <v>1</v>
      </c>
      <c r="E3705">
        <v>5</v>
      </c>
      <c r="F3705">
        <v>211</v>
      </c>
      <c r="G3705">
        <v>217</v>
      </c>
      <c r="H3705">
        <v>5</v>
      </c>
      <c r="I3705">
        <v>1</v>
      </c>
      <c r="J3705">
        <v>0.138492225345964</v>
      </c>
      <c r="L3705">
        <v>-1.0449372136989901E-2</v>
      </c>
      <c r="M3705">
        <v>1</v>
      </c>
      <c r="O3705">
        <v>-1.0449372136989901E-2</v>
      </c>
    </row>
    <row r="3706" spans="1:15" hidden="1" x14ac:dyDescent="0.3">
      <c r="A3706" t="s">
        <v>295</v>
      </c>
      <c r="B3706" t="s">
        <v>221</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295</v>
      </c>
      <c r="B3707" t="s">
        <v>322</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295</v>
      </c>
      <c r="B3708" t="s">
        <v>303</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295</v>
      </c>
      <c r="B3709" t="s">
        <v>302</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295</v>
      </c>
      <c r="B3710" t="s">
        <v>147</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295</v>
      </c>
      <c r="B3711" t="s">
        <v>284</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295</v>
      </c>
      <c r="B3712" t="s">
        <v>299</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295</v>
      </c>
      <c r="B3713" t="s">
        <v>301</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295</v>
      </c>
      <c r="B3714" t="s">
        <v>268</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295</v>
      </c>
      <c r="B3715" t="s">
        <v>290</v>
      </c>
      <c r="C3715">
        <v>0</v>
      </c>
      <c r="D3715">
        <v>1</v>
      </c>
      <c r="E3715">
        <v>5</v>
      </c>
      <c r="F3715">
        <v>211</v>
      </c>
      <c r="G3715">
        <v>217</v>
      </c>
      <c r="H3715">
        <v>5</v>
      </c>
      <c r="I3715">
        <v>1</v>
      </c>
      <c r="J3715">
        <v>0.138492225345964</v>
      </c>
      <c r="L3715">
        <v>-1.0449372136989901E-2</v>
      </c>
      <c r="M3715">
        <v>1</v>
      </c>
      <c r="O3715">
        <v>-1.0449372136989901E-2</v>
      </c>
    </row>
    <row r="3716" spans="1:15" hidden="1" x14ac:dyDescent="0.3">
      <c r="A3716" t="s">
        <v>295</v>
      </c>
      <c r="B3716" t="s">
        <v>351</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295</v>
      </c>
      <c r="B3717" t="s">
        <v>337</v>
      </c>
      <c r="C3717">
        <v>0</v>
      </c>
      <c r="D3717">
        <v>3</v>
      </c>
      <c r="E3717">
        <v>5</v>
      </c>
      <c r="F3717">
        <v>209</v>
      </c>
      <c r="G3717">
        <v>217</v>
      </c>
      <c r="H3717">
        <v>5</v>
      </c>
      <c r="I3717">
        <v>3</v>
      </c>
      <c r="J3717">
        <v>0.22755841388363099</v>
      </c>
      <c r="L3717">
        <v>-1.8183220798401501E-2</v>
      </c>
      <c r="M3717">
        <v>1</v>
      </c>
      <c r="O3717">
        <v>-1.8183220798401501E-2</v>
      </c>
    </row>
    <row r="3718" spans="1:15" hidden="1" x14ac:dyDescent="0.3">
      <c r="A3718" t="s">
        <v>295</v>
      </c>
      <c r="B3718" t="s">
        <v>212</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295</v>
      </c>
      <c r="B3719" t="s">
        <v>250</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295</v>
      </c>
      <c r="B3720" t="s">
        <v>246</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295</v>
      </c>
      <c r="B3721" t="s">
        <v>347</v>
      </c>
      <c r="C3721">
        <v>0</v>
      </c>
      <c r="D3721">
        <v>1</v>
      </c>
      <c r="E3721">
        <v>5</v>
      </c>
      <c r="F3721">
        <v>211</v>
      </c>
      <c r="G3721">
        <v>217</v>
      </c>
      <c r="H3721">
        <v>5</v>
      </c>
      <c r="I3721">
        <v>1</v>
      </c>
      <c r="J3721">
        <v>0.138492225345964</v>
      </c>
      <c r="L3721">
        <v>-1.0449372136989901E-2</v>
      </c>
      <c r="M3721">
        <v>1</v>
      </c>
      <c r="O3721">
        <v>-1.0449372136989901E-2</v>
      </c>
    </row>
    <row r="3722" spans="1:15" hidden="1" x14ac:dyDescent="0.3">
      <c r="A3722" t="s">
        <v>295</v>
      </c>
      <c r="B3722" t="s">
        <v>153</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295</v>
      </c>
      <c r="B3723" t="s">
        <v>283</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295</v>
      </c>
      <c r="B3724" t="s">
        <v>5</v>
      </c>
      <c r="C3724">
        <v>0</v>
      </c>
      <c r="D3724">
        <v>3</v>
      </c>
      <c r="E3724">
        <v>5</v>
      </c>
      <c r="F3724">
        <v>209</v>
      </c>
      <c r="G3724">
        <v>217</v>
      </c>
      <c r="H3724">
        <v>5</v>
      </c>
      <c r="I3724">
        <v>3</v>
      </c>
      <c r="J3724">
        <v>0.22755841388363099</v>
      </c>
      <c r="L3724">
        <v>-1.8183220798401501E-2</v>
      </c>
      <c r="M3724">
        <v>1</v>
      </c>
      <c r="O3724">
        <v>-1.8183220798401501E-2</v>
      </c>
    </row>
    <row r="3725" spans="1:15" hidden="1" x14ac:dyDescent="0.3">
      <c r="A3725" t="s">
        <v>295</v>
      </c>
      <c r="B3725" t="s">
        <v>219</v>
      </c>
      <c r="C3725">
        <v>0</v>
      </c>
      <c r="D3725">
        <v>4</v>
      </c>
      <c r="E3725">
        <v>5</v>
      </c>
      <c r="F3725">
        <v>208</v>
      </c>
      <c r="G3725">
        <v>217</v>
      </c>
      <c r="H3725">
        <v>5</v>
      </c>
      <c r="I3725">
        <v>4</v>
      </c>
      <c r="J3725">
        <v>0.25780435421065001</v>
      </c>
      <c r="L3725">
        <v>-2.1045403927840298E-2</v>
      </c>
      <c r="M3725">
        <v>1</v>
      </c>
      <c r="O3725">
        <v>-2.1045403927840298E-2</v>
      </c>
    </row>
    <row r="3726" spans="1:15" hidden="1" x14ac:dyDescent="0.3">
      <c r="A3726" t="s">
        <v>295</v>
      </c>
      <c r="B3726" t="s">
        <v>220</v>
      </c>
      <c r="C3726">
        <v>0</v>
      </c>
      <c r="D3726">
        <v>5</v>
      </c>
      <c r="E3726">
        <v>5</v>
      </c>
      <c r="F3726">
        <v>207</v>
      </c>
      <c r="G3726">
        <v>217</v>
      </c>
      <c r="H3726">
        <v>5</v>
      </c>
      <c r="I3726">
        <v>5</v>
      </c>
      <c r="J3726">
        <v>0.28346868942621001</v>
      </c>
      <c r="L3726">
        <v>-2.3584905660377301E-2</v>
      </c>
      <c r="M3726">
        <v>1</v>
      </c>
      <c r="O3726">
        <v>-2.3584905660377301E-2</v>
      </c>
    </row>
    <row r="3727" spans="1:15" hidden="1" x14ac:dyDescent="0.3">
      <c r="A3727" t="s">
        <v>295</v>
      </c>
      <c r="B3727" t="s">
        <v>279</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295</v>
      </c>
      <c r="B3728" t="s">
        <v>262</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295</v>
      </c>
      <c r="B3729" t="s">
        <v>321</v>
      </c>
      <c r="C3729">
        <v>0</v>
      </c>
      <c r="D3729">
        <v>1</v>
      </c>
      <c r="E3729">
        <v>5</v>
      </c>
      <c r="F3729">
        <v>211</v>
      </c>
      <c r="G3729">
        <v>217</v>
      </c>
      <c r="H3729">
        <v>5</v>
      </c>
      <c r="I3729">
        <v>1</v>
      </c>
      <c r="J3729">
        <v>0.138492225345964</v>
      </c>
      <c r="L3729">
        <v>-1.0449372136989901E-2</v>
      </c>
      <c r="M3729">
        <v>1</v>
      </c>
      <c r="O3729">
        <v>-1.0449372136989901E-2</v>
      </c>
    </row>
    <row r="3730" spans="1:15" hidden="1" x14ac:dyDescent="0.3">
      <c r="A3730" t="s">
        <v>295</v>
      </c>
      <c r="B3730" t="s">
        <v>215</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295</v>
      </c>
      <c r="B3731" t="s">
        <v>253</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295</v>
      </c>
      <c r="B3732" t="s">
        <v>341</v>
      </c>
      <c r="C3732">
        <v>0</v>
      </c>
      <c r="D3732">
        <v>1</v>
      </c>
      <c r="E3732">
        <v>5</v>
      </c>
      <c r="F3732">
        <v>211</v>
      </c>
      <c r="G3732">
        <v>217</v>
      </c>
      <c r="H3732">
        <v>5</v>
      </c>
      <c r="I3732">
        <v>1</v>
      </c>
      <c r="J3732">
        <v>0.138492225345964</v>
      </c>
      <c r="L3732">
        <v>-1.0449372136989901E-2</v>
      </c>
      <c r="M3732">
        <v>1</v>
      </c>
      <c r="O3732">
        <v>-1.0449372136989901E-2</v>
      </c>
    </row>
    <row r="3733" spans="1:15" hidden="1" x14ac:dyDescent="0.3">
      <c r="A3733" t="s">
        <v>295</v>
      </c>
      <c r="B3733" t="s">
        <v>214</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295</v>
      </c>
      <c r="B3734" t="s">
        <v>168</v>
      </c>
      <c r="C3734">
        <v>0</v>
      </c>
      <c r="D3734">
        <v>5</v>
      </c>
      <c r="E3734">
        <v>5</v>
      </c>
      <c r="F3734">
        <v>207</v>
      </c>
      <c r="G3734">
        <v>217</v>
      </c>
      <c r="H3734">
        <v>5</v>
      </c>
      <c r="I3734">
        <v>5</v>
      </c>
      <c r="J3734">
        <v>0.28346868942621001</v>
      </c>
      <c r="L3734">
        <v>-2.3584905660377301E-2</v>
      </c>
      <c r="M3734">
        <v>1</v>
      </c>
      <c r="O3734">
        <v>-2.3584905660377301E-2</v>
      </c>
    </row>
    <row r="3735" spans="1:15" hidden="1" x14ac:dyDescent="0.3">
      <c r="A3735" t="s">
        <v>295</v>
      </c>
      <c r="B3735" t="s">
        <v>352</v>
      </c>
      <c r="C3735">
        <v>0</v>
      </c>
      <c r="D3735">
        <v>1</v>
      </c>
      <c r="E3735">
        <v>5</v>
      </c>
      <c r="F3735">
        <v>211</v>
      </c>
      <c r="G3735">
        <v>217</v>
      </c>
      <c r="H3735">
        <v>5</v>
      </c>
      <c r="I3735">
        <v>1</v>
      </c>
      <c r="J3735">
        <v>0.138492225345964</v>
      </c>
      <c r="L3735">
        <v>-1.0449372136989901E-2</v>
      </c>
      <c r="M3735">
        <v>1</v>
      </c>
      <c r="O3735">
        <v>-1.0449372136989901E-2</v>
      </c>
    </row>
    <row r="3736" spans="1:15" x14ac:dyDescent="0.3">
      <c r="A3736" t="s">
        <v>295</v>
      </c>
      <c r="B3736" t="s">
        <v>169</v>
      </c>
      <c r="C3736">
        <v>0</v>
      </c>
      <c r="D3736">
        <v>2</v>
      </c>
      <c r="E3736">
        <v>5</v>
      </c>
      <c r="F3736">
        <v>210</v>
      </c>
      <c r="G3736">
        <v>217</v>
      </c>
      <c r="H3736">
        <v>5</v>
      </c>
      <c r="I3736">
        <v>2</v>
      </c>
      <c r="J3736">
        <v>0.190078954435137</v>
      </c>
      <c r="L3736">
        <v>-1.48119705393753E-2</v>
      </c>
      <c r="M3736">
        <v>1</v>
      </c>
      <c r="O3736">
        <v>-1.48119705393753E-2</v>
      </c>
    </row>
    <row r="3737" spans="1:15" x14ac:dyDescent="0.3">
      <c r="A3737" t="s">
        <v>295</v>
      </c>
      <c r="B3737" t="s">
        <v>175</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295</v>
      </c>
      <c r="B3738" t="s">
        <v>340</v>
      </c>
      <c r="C3738">
        <v>0</v>
      </c>
      <c r="D3738">
        <v>1</v>
      </c>
      <c r="E3738">
        <v>5</v>
      </c>
      <c r="F3738">
        <v>211</v>
      </c>
      <c r="G3738">
        <v>217</v>
      </c>
      <c r="H3738">
        <v>5</v>
      </c>
      <c r="I3738">
        <v>1</v>
      </c>
      <c r="J3738">
        <v>0.138492225345964</v>
      </c>
      <c r="L3738">
        <v>-1.0449372136989901E-2</v>
      </c>
      <c r="M3738">
        <v>1</v>
      </c>
      <c r="O3738">
        <v>-1.0449372136989901E-2</v>
      </c>
    </row>
    <row r="3739" spans="1:15" hidden="1" x14ac:dyDescent="0.3">
      <c r="A3739" t="s">
        <v>295</v>
      </c>
      <c r="B3739" t="s">
        <v>190</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295</v>
      </c>
      <c r="B3740" t="s">
        <v>346</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295</v>
      </c>
      <c r="B3741" t="s">
        <v>309</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295</v>
      </c>
      <c r="B3742" t="s">
        <v>148</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295</v>
      </c>
      <c r="B3743" t="s">
        <v>173</v>
      </c>
      <c r="C3743">
        <v>0</v>
      </c>
      <c r="D3743">
        <v>2</v>
      </c>
      <c r="E3743">
        <v>5</v>
      </c>
      <c r="F3743">
        <v>210</v>
      </c>
      <c r="G3743">
        <v>217</v>
      </c>
      <c r="H3743">
        <v>5</v>
      </c>
      <c r="I3743">
        <v>2</v>
      </c>
      <c r="J3743">
        <v>0.190078954435137</v>
      </c>
      <c r="L3743">
        <v>-1.48119705393753E-2</v>
      </c>
      <c r="M3743">
        <v>1</v>
      </c>
      <c r="O3743">
        <v>-1.48119705393753E-2</v>
      </c>
    </row>
    <row r="3744" spans="1:15" hidden="1" x14ac:dyDescent="0.3">
      <c r="A3744" t="s">
        <v>295</v>
      </c>
      <c r="B3744" t="s">
        <v>217</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295</v>
      </c>
      <c r="B3745" t="s">
        <v>348</v>
      </c>
      <c r="C3745">
        <v>0</v>
      </c>
      <c r="D3745">
        <v>1</v>
      </c>
      <c r="E3745">
        <v>5</v>
      </c>
      <c r="F3745">
        <v>211</v>
      </c>
      <c r="G3745">
        <v>217</v>
      </c>
      <c r="H3745">
        <v>5</v>
      </c>
      <c r="I3745">
        <v>1</v>
      </c>
      <c r="J3745">
        <v>0.138492225345964</v>
      </c>
      <c r="L3745">
        <v>-1.0449372136989901E-2</v>
      </c>
      <c r="M3745">
        <v>1</v>
      </c>
      <c r="O3745">
        <v>-1.0449372136989901E-2</v>
      </c>
    </row>
    <row r="3746" spans="1:15" hidden="1" x14ac:dyDescent="0.3">
      <c r="A3746" t="s">
        <v>295</v>
      </c>
      <c r="B3746" t="s">
        <v>222</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295</v>
      </c>
      <c r="B3747" t="s">
        <v>269</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295</v>
      </c>
      <c r="B3748" t="s">
        <v>349</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295</v>
      </c>
      <c r="B3749" t="s">
        <v>274</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295</v>
      </c>
      <c r="B3750" t="s">
        <v>316</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295</v>
      </c>
      <c r="B3751" t="s">
        <v>350</v>
      </c>
      <c r="C3751">
        <v>0</v>
      </c>
      <c r="D3751">
        <v>1</v>
      </c>
      <c r="E3751">
        <v>5</v>
      </c>
      <c r="F3751">
        <v>211</v>
      </c>
      <c r="G3751">
        <v>217</v>
      </c>
      <c r="H3751">
        <v>5</v>
      </c>
      <c r="I3751">
        <v>1</v>
      </c>
      <c r="J3751">
        <v>0.138492225345964</v>
      </c>
      <c r="L3751">
        <v>-1.0449372136989901E-2</v>
      </c>
      <c r="M3751">
        <v>1</v>
      </c>
      <c r="O3751">
        <v>-1.0449372136989901E-2</v>
      </c>
    </row>
    <row r="3752" spans="1:15" hidden="1" x14ac:dyDescent="0.3">
      <c r="A3752" t="s">
        <v>295</v>
      </c>
      <c r="B3752" t="s">
        <v>218</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295</v>
      </c>
      <c r="B3753" t="s">
        <v>261</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295</v>
      </c>
      <c r="B3754" t="s">
        <v>277</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295</v>
      </c>
      <c r="B3755" t="s">
        <v>251</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295</v>
      </c>
      <c r="B3756" t="s">
        <v>259</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295</v>
      </c>
      <c r="B3757" t="s">
        <v>329</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295</v>
      </c>
      <c r="B3758" t="s">
        <v>360</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295</v>
      </c>
      <c r="B3759" t="s">
        <v>358</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295</v>
      </c>
      <c r="B3760" t="s">
        <v>312</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295</v>
      </c>
      <c r="B3761" t="s">
        <v>361</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295</v>
      </c>
      <c r="B3762" t="s">
        <v>288</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295</v>
      </c>
      <c r="B3763" t="s">
        <v>306</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295</v>
      </c>
      <c r="B3764" t="s">
        <v>345</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295</v>
      </c>
      <c r="B3765" t="s">
        <v>338</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295</v>
      </c>
      <c r="B3766" t="s">
        <v>267</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295</v>
      </c>
      <c r="B3767" t="s">
        <v>194</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295</v>
      </c>
      <c r="B3768" t="s">
        <v>328</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295</v>
      </c>
      <c r="B3769" t="s">
        <v>293</v>
      </c>
      <c r="C3769">
        <v>0</v>
      </c>
      <c r="D3769">
        <v>2</v>
      </c>
      <c r="E3769">
        <v>5</v>
      </c>
      <c r="F3769">
        <v>210</v>
      </c>
      <c r="G3769">
        <v>217</v>
      </c>
      <c r="H3769">
        <v>5</v>
      </c>
      <c r="I3769">
        <v>2</v>
      </c>
      <c r="J3769">
        <v>0.190078954435137</v>
      </c>
      <c r="L3769">
        <v>-1.48119705393753E-2</v>
      </c>
      <c r="M3769">
        <v>1</v>
      </c>
      <c r="O3769">
        <v>-1.48119705393753E-2</v>
      </c>
    </row>
    <row r="3770" spans="1:15" hidden="1" x14ac:dyDescent="0.3">
      <c r="A3770" t="s">
        <v>295</v>
      </c>
      <c r="B3770" t="s">
        <v>216</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295</v>
      </c>
      <c r="B3771" t="s">
        <v>297</v>
      </c>
      <c r="C3771">
        <v>0</v>
      </c>
      <c r="D3771">
        <v>1</v>
      </c>
      <c r="E3771">
        <v>5</v>
      </c>
      <c r="F3771">
        <v>211</v>
      </c>
      <c r="G3771">
        <v>217</v>
      </c>
      <c r="H3771">
        <v>5</v>
      </c>
      <c r="I3771">
        <v>1</v>
      </c>
      <c r="J3771">
        <v>0.138492225345964</v>
      </c>
      <c r="L3771">
        <v>-1.0449372136989901E-2</v>
      </c>
      <c r="M3771">
        <v>1</v>
      </c>
      <c r="O3771">
        <v>-1.0449372136989901E-2</v>
      </c>
    </row>
    <row r="3772" spans="1:15" hidden="1" x14ac:dyDescent="0.3">
      <c r="A3772" t="s">
        <v>295</v>
      </c>
      <c r="B3772" t="s">
        <v>264</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295</v>
      </c>
      <c r="B3773" t="s">
        <v>359</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295</v>
      </c>
      <c r="B3774" t="s">
        <v>313</v>
      </c>
      <c r="C3774">
        <v>0</v>
      </c>
      <c r="D3774">
        <v>1</v>
      </c>
      <c r="E3774">
        <v>5</v>
      </c>
      <c r="F3774">
        <v>211</v>
      </c>
      <c r="G3774">
        <v>217</v>
      </c>
      <c r="H3774">
        <v>5</v>
      </c>
      <c r="I3774">
        <v>1</v>
      </c>
      <c r="J3774">
        <v>0.138492225345964</v>
      </c>
      <c r="L3774">
        <v>-1.0449372136989901E-2</v>
      </c>
      <c r="M3774">
        <v>1</v>
      </c>
      <c r="O3774">
        <v>-1.0449372136989901E-2</v>
      </c>
    </row>
    <row r="3775" spans="1:15" hidden="1" x14ac:dyDescent="0.3">
      <c r="A3775" t="s">
        <v>295</v>
      </c>
      <c r="B3775" t="s">
        <v>331</v>
      </c>
      <c r="C3775">
        <v>0</v>
      </c>
      <c r="D3775">
        <v>2</v>
      </c>
      <c r="E3775">
        <v>5</v>
      </c>
      <c r="F3775">
        <v>210</v>
      </c>
      <c r="G3775">
        <v>217</v>
      </c>
      <c r="H3775">
        <v>5</v>
      </c>
      <c r="I3775">
        <v>2</v>
      </c>
      <c r="J3775">
        <v>0.190078954435137</v>
      </c>
      <c r="L3775">
        <v>-1.48119705393753E-2</v>
      </c>
      <c r="M3775">
        <v>1</v>
      </c>
      <c r="O3775">
        <v>-1.48119705393753E-2</v>
      </c>
    </row>
    <row r="3776" spans="1:15" hidden="1" x14ac:dyDescent="0.3">
      <c r="A3776" t="s">
        <v>295</v>
      </c>
      <c r="B3776" t="s">
        <v>285</v>
      </c>
      <c r="C3776">
        <v>0</v>
      </c>
      <c r="D3776">
        <v>1</v>
      </c>
      <c r="E3776">
        <v>5</v>
      </c>
      <c r="F3776">
        <v>211</v>
      </c>
      <c r="G3776">
        <v>217</v>
      </c>
      <c r="H3776">
        <v>5</v>
      </c>
      <c r="I3776">
        <v>1</v>
      </c>
      <c r="J3776">
        <v>0.138492225345964</v>
      </c>
      <c r="L3776">
        <v>-1.0449372136989901E-2</v>
      </c>
      <c r="M3776">
        <v>1</v>
      </c>
      <c r="O3776">
        <v>-1.0449372136989901E-2</v>
      </c>
    </row>
    <row r="3777" spans="1:15" x14ac:dyDescent="0.3">
      <c r="A3777" t="s">
        <v>295</v>
      </c>
      <c r="B3777" t="s">
        <v>152</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295</v>
      </c>
      <c r="B3778" t="s">
        <v>311</v>
      </c>
      <c r="C3778">
        <v>0</v>
      </c>
      <c r="D3778">
        <v>1</v>
      </c>
      <c r="E3778">
        <v>5</v>
      </c>
      <c r="F3778">
        <v>211</v>
      </c>
      <c r="G3778">
        <v>217</v>
      </c>
      <c r="H3778">
        <v>5</v>
      </c>
      <c r="I3778">
        <v>1</v>
      </c>
      <c r="J3778">
        <v>0.138492225345964</v>
      </c>
      <c r="L3778">
        <v>-1.0449372136989901E-2</v>
      </c>
      <c r="M3778">
        <v>1</v>
      </c>
      <c r="O3778">
        <v>-1.0449372136989901E-2</v>
      </c>
    </row>
    <row r="3779" spans="1:15" hidden="1" x14ac:dyDescent="0.3">
      <c r="A3779" t="s">
        <v>295</v>
      </c>
      <c r="B3779" t="s">
        <v>213</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295</v>
      </c>
      <c r="B3780" t="s">
        <v>330</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295</v>
      </c>
      <c r="B3781" t="s">
        <v>252</v>
      </c>
      <c r="C3781">
        <v>0</v>
      </c>
      <c r="D3781">
        <v>3</v>
      </c>
      <c r="E3781">
        <v>5</v>
      </c>
      <c r="F3781">
        <v>209</v>
      </c>
      <c r="G3781">
        <v>217</v>
      </c>
      <c r="H3781">
        <v>5</v>
      </c>
      <c r="I3781">
        <v>3</v>
      </c>
      <c r="J3781">
        <v>0.22755841388363099</v>
      </c>
      <c r="L3781">
        <v>-1.8183220798401501E-2</v>
      </c>
      <c r="M3781">
        <v>1</v>
      </c>
      <c r="O3781">
        <v>-1.8183220798401501E-2</v>
      </c>
    </row>
    <row r="3782" spans="1:15" x14ac:dyDescent="0.3">
      <c r="A3782" t="s">
        <v>295</v>
      </c>
      <c r="B3782" t="s">
        <v>170</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295</v>
      </c>
      <c r="B3783" t="s">
        <v>281</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295</v>
      </c>
      <c r="B3784" t="s">
        <v>324</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295</v>
      </c>
      <c r="B3785" t="s">
        <v>278</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295</v>
      </c>
      <c r="B3786" t="s">
        <v>292</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295</v>
      </c>
      <c r="B3787" t="s">
        <v>172</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295</v>
      </c>
      <c r="B3788" t="s">
        <v>323</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295</v>
      </c>
      <c r="B3789" t="s">
        <v>326</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295</v>
      </c>
      <c r="B3790" t="s">
        <v>325</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295</v>
      </c>
      <c r="B3791" t="s">
        <v>256</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295</v>
      </c>
      <c r="B3792" t="s">
        <v>243</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295</v>
      </c>
      <c r="B3793" t="s">
        <v>327</v>
      </c>
      <c r="C3793">
        <v>0</v>
      </c>
      <c r="D3793">
        <v>1</v>
      </c>
      <c r="E3793">
        <v>5</v>
      </c>
      <c r="F3793">
        <v>211</v>
      </c>
      <c r="G3793">
        <v>217</v>
      </c>
      <c r="H3793">
        <v>5</v>
      </c>
      <c r="I3793">
        <v>1</v>
      </c>
      <c r="J3793">
        <v>0.138492225345964</v>
      </c>
      <c r="L3793">
        <v>-1.0449372136989901E-2</v>
      </c>
      <c r="M3793">
        <v>1</v>
      </c>
      <c r="O3793">
        <v>-1.0449372136989901E-2</v>
      </c>
    </row>
    <row r="3794" spans="1:15" x14ac:dyDescent="0.3">
      <c r="A3794" t="s">
        <v>295</v>
      </c>
      <c r="B3794" t="s">
        <v>174</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295</v>
      </c>
      <c r="B3795" t="s">
        <v>260</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295</v>
      </c>
      <c r="B3796" t="s">
        <v>280</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295</v>
      </c>
      <c r="B3797" t="s">
        <v>318</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295</v>
      </c>
      <c r="B3798" t="s">
        <v>244</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295</v>
      </c>
      <c r="B3799" t="s">
        <v>336</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295</v>
      </c>
      <c r="B3800" t="s">
        <v>304</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295</v>
      </c>
      <c r="B3801" t="s">
        <v>270</v>
      </c>
      <c r="C3801">
        <v>0</v>
      </c>
      <c r="D3801">
        <v>3</v>
      </c>
      <c r="E3801">
        <v>5</v>
      </c>
      <c r="F3801">
        <v>209</v>
      </c>
      <c r="G3801">
        <v>217</v>
      </c>
      <c r="H3801">
        <v>5</v>
      </c>
      <c r="I3801">
        <v>3</v>
      </c>
      <c r="J3801">
        <v>0.22755841388363099</v>
      </c>
      <c r="L3801">
        <v>-1.8183220798401501E-2</v>
      </c>
      <c r="M3801">
        <v>1</v>
      </c>
      <c r="O3801">
        <v>-1.8183220798401501E-2</v>
      </c>
    </row>
    <row r="3802" spans="1:15" x14ac:dyDescent="0.3">
      <c r="A3802" t="s">
        <v>295</v>
      </c>
      <c r="B3802" t="s">
        <v>257</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295</v>
      </c>
      <c r="B3803" t="s">
        <v>307</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295</v>
      </c>
      <c r="B3804" t="s">
        <v>286</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295</v>
      </c>
      <c r="B3805" t="s">
        <v>198</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295</v>
      </c>
      <c r="B3806" t="s">
        <v>289</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295</v>
      </c>
      <c r="B3807" t="s">
        <v>282</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295</v>
      </c>
      <c r="B3808" t="s">
        <v>291</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120</v>
      </c>
      <c r="B3809" t="s">
        <v>3</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120</v>
      </c>
      <c r="B3810" t="s">
        <v>1</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120</v>
      </c>
      <c r="B3811" t="s">
        <v>314</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120</v>
      </c>
      <c r="B3812" t="s">
        <v>357</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120</v>
      </c>
      <c r="B3813" t="s">
        <v>356</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120</v>
      </c>
      <c r="B3814" t="s">
        <v>273</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120</v>
      </c>
      <c r="B3815" t="s">
        <v>242</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120</v>
      </c>
      <c r="B3816" t="s">
        <v>332</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120</v>
      </c>
      <c r="B3817" t="s">
        <v>355</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120</v>
      </c>
      <c r="B3818" t="s">
        <v>335</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120</v>
      </c>
      <c r="B3819" t="s">
        <v>266</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120</v>
      </c>
      <c r="B3820" t="s">
        <v>272</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120</v>
      </c>
      <c r="B3821" t="s">
        <v>310</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120</v>
      </c>
      <c r="B3822" t="s">
        <v>317</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120</v>
      </c>
      <c r="B3823" t="s">
        <v>9</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120</v>
      </c>
      <c r="B3824" t="s">
        <v>362</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120</v>
      </c>
      <c r="B3825" t="s">
        <v>354</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120</v>
      </c>
      <c r="B3826" t="s">
        <v>353</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120</v>
      </c>
      <c r="B3827" t="s">
        <v>363</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120</v>
      </c>
      <c r="B3828" t="s">
        <v>305</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120</v>
      </c>
      <c r="B3829" t="s">
        <v>339</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120</v>
      </c>
      <c r="B3830" t="s">
        <v>248</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120</v>
      </c>
      <c r="B3831" t="s">
        <v>342</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120</v>
      </c>
      <c r="B3832" t="s">
        <v>315</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120</v>
      </c>
      <c r="B3833" t="s">
        <v>247</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120</v>
      </c>
      <c r="B3834" t="s">
        <v>241</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120</v>
      </c>
      <c r="B3835" t="s">
        <v>334</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120</v>
      </c>
      <c r="B3836" t="s">
        <v>300</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120</v>
      </c>
      <c r="B3837" t="s">
        <v>271</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120</v>
      </c>
      <c r="B3838" t="s">
        <v>255</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120</v>
      </c>
      <c r="B3839" t="s">
        <v>296</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120</v>
      </c>
      <c r="B3840" t="s">
        <v>249</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120</v>
      </c>
      <c r="B3841" t="s">
        <v>308</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120</v>
      </c>
      <c r="B3842" t="s">
        <v>319</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120</v>
      </c>
      <c r="B3843" t="s">
        <v>245</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120</v>
      </c>
      <c r="B3844" t="s">
        <v>240</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120</v>
      </c>
      <c r="B3845" t="s">
        <v>343</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120</v>
      </c>
      <c r="B3846" t="s">
        <v>258</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120</v>
      </c>
      <c r="B3847" t="s">
        <v>344</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120</v>
      </c>
      <c r="B3848" t="s">
        <v>276</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120</v>
      </c>
      <c r="B3849" t="s">
        <v>333</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120</v>
      </c>
      <c r="B3850" t="s">
        <v>263</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120</v>
      </c>
      <c r="B3851" t="s">
        <v>254</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120</v>
      </c>
      <c r="B3852" t="s">
        <v>320</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120</v>
      </c>
      <c r="B3853" t="s">
        <v>275</v>
      </c>
      <c r="C3853">
        <v>0</v>
      </c>
      <c r="D3853">
        <v>11</v>
      </c>
      <c r="E3853">
        <v>2</v>
      </c>
      <c r="F3853">
        <v>204</v>
      </c>
      <c r="G3853">
        <v>217</v>
      </c>
      <c r="H3853">
        <v>2</v>
      </c>
      <c r="I3853">
        <v>11</v>
      </c>
      <c r="J3853">
        <v>0.26852657159596099</v>
      </c>
      <c r="L3853">
        <v>-2.22873534381808E-2</v>
      </c>
      <c r="M3853">
        <v>1</v>
      </c>
      <c r="O3853">
        <v>-2.22873534381808E-2</v>
      </c>
    </row>
    <row r="3854" spans="1:15" hidden="1" x14ac:dyDescent="0.3">
      <c r="A3854" t="s">
        <v>120</v>
      </c>
      <c r="B3854" t="s">
        <v>221</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120</v>
      </c>
      <c r="B3855" t="s">
        <v>322</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120</v>
      </c>
      <c r="B3856" t="s">
        <v>303</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120</v>
      </c>
      <c r="B3857" t="s">
        <v>302</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120</v>
      </c>
      <c r="B3858" t="s">
        <v>147</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120</v>
      </c>
      <c r="B3859" t="s">
        <v>284</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120</v>
      </c>
      <c r="B3860" t="s">
        <v>301</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120</v>
      </c>
      <c r="B3861" t="s">
        <v>268</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120</v>
      </c>
      <c r="B3862" t="s">
        <v>290</v>
      </c>
      <c r="C3862">
        <v>0</v>
      </c>
      <c r="D3862">
        <v>1</v>
      </c>
      <c r="E3862">
        <v>2</v>
      </c>
      <c r="F3862">
        <v>214</v>
      </c>
      <c r="G3862">
        <v>217</v>
      </c>
      <c r="H3862">
        <v>2</v>
      </c>
      <c r="I3862">
        <v>1</v>
      </c>
      <c r="J3862">
        <v>8.9972904061745101E-2</v>
      </c>
      <c r="L3862">
        <v>-6.5624935913179798E-3</v>
      </c>
      <c r="M3862">
        <v>1</v>
      </c>
      <c r="O3862">
        <v>-6.5624935913179798E-3</v>
      </c>
    </row>
    <row r="3863" spans="1:15" hidden="1" x14ac:dyDescent="0.3">
      <c r="A3863" t="s">
        <v>120</v>
      </c>
      <c r="B3863" t="s">
        <v>351</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120</v>
      </c>
      <c r="B3864" t="s">
        <v>337</v>
      </c>
      <c r="C3864">
        <v>0</v>
      </c>
      <c r="D3864">
        <v>3</v>
      </c>
      <c r="E3864">
        <v>2</v>
      </c>
      <c r="F3864">
        <v>212</v>
      </c>
      <c r="G3864">
        <v>217</v>
      </c>
      <c r="H3864">
        <v>2</v>
      </c>
      <c r="I3864">
        <v>3</v>
      </c>
      <c r="J3864">
        <v>0.15066306992548201</v>
      </c>
      <c r="L3864">
        <v>-1.14195636249397E-2</v>
      </c>
      <c r="M3864">
        <v>1</v>
      </c>
      <c r="O3864">
        <v>-1.14195636249397E-2</v>
      </c>
    </row>
    <row r="3865" spans="1:15" hidden="1" x14ac:dyDescent="0.3">
      <c r="A3865" t="s">
        <v>120</v>
      </c>
      <c r="B3865" t="s">
        <v>212</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120</v>
      </c>
      <c r="B3866" t="s">
        <v>250</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120</v>
      </c>
      <c r="B3867" t="s">
        <v>246</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120</v>
      </c>
      <c r="B3868" t="s">
        <v>347</v>
      </c>
      <c r="C3868">
        <v>0</v>
      </c>
      <c r="D3868">
        <v>1</v>
      </c>
      <c r="E3868">
        <v>2</v>
      </c>
      <c r="F3868">
        <v>214</v>
      </c>
      <c r="G3868">
        <v>217</v>
      </c>
      <c r="H3868">
        <v>2</v>
      </c>
      <c r="I3868">
        <v>1</v>
      </c>
      <c r="J3868">
        <v>8.9972904061745101E-2</v>
      </c>
      <c r="L3868">
        <v>-6.5624935913179798E-3</v>
      </c>
      <c r="M3868">
        <v>1</v>
      </c>
      <c r="O3868">
        <v>-6.5624935913179798E-3</v>
      </c>
    </row>
    <row r="3869" spans="1:15" hidden="1" x14ac:dyDescent="0.3">
      <c r="A3869" t="s">
        <v>120</v>
      </c>
      <c r="B3869" t="s">
        <v>153</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120</v>
      </c>
      <c r="B3870" t="s">
        <v>283</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120</v>
      </c>
      <c r="B3871" t="s">
        <v>5</v>
      </c>
      <c r="C3871">
        <v>0</v>
      </c>
      <c r="D3871">
        <v>3</v>
      </c>
      <c r="E3871">
        <v>2</v>
      </c>
      <c r="F3871">
        <v>212</v>
      </c>
      <c r="G3871">
        <v>217</v>
      </c>
      <c r="H3871">
        <v>2</v>
      </c>
      <c r="I3871">
        <v>3</v>
      </c>
      <c r="J3871">
        <v>0.15066306992548201</v>
      </c>
      <c r="L3871">
        <v>-1.14195636249397E-2</v>
      </c>
      <c r="M3871">
        <v>1</v>
      </c>
      <c r="O3871">
        <v>-1.14195636249397E-2</v>
      </c>
    </row>
    <row r="3872" spans="1:15" hidden="1" x14ac:dyDescent="0.3">
      <c r="A3872" t="s">
        <v>120</v>
      </c>
      <c r="B3872" t="s">
        <v>219</v>
      </c>
      <c r="C3872">
        <v>0</v>
      </c>
      <c r="D3872">
        <v>4</v>
      </c>
      <c r="E3872">
        <v>2</v>
      </c>
      <c r="F3872">
        <v>211</v>
      </c>
      <c r="G3872">
        <v>217</v>
      </c>
      <c r="H3872">
        <v>2</v>
      </c>
      <c r="I3872">
        <v>4</v>
      </c>
      <c r="J3872">
        <v>0.17185068465818601</v>
      </c>
      <c r="L3872">
        <v>-1.3217093485861199E-2</v>
      </c>
      <c r="M3872">
        <v>1</v>
      </c>
      <c r="O3872">
        <v>-1.3217093485861199E-2</v>
      </c>
    </row>
    <row r="3873" spans="1:15" hidden="1" x14ac:dyDescent="0.3">
      <c r="A3873" t="s">
        <v>120</v>
      </c>
      <c r="B3873" t="s">
        <v>220</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120</v>
      </c>
      <c r="B3874" t="s">
        <v>201</v>
      </c>
      <c r="C3874">
        <v>0</v>
      </c>
      <c r="D3874">
        <v>4</v>
      </c>
      <c r="E3874">
        <v>2</v>
      </c>
      <c r="F3874">
        <v>211</v>
      </c>
      <c r="G3874">
        <v>217</v>
      </c>
      <c r="H3874">
        <v>2</v>
      </c>
      <c r="I3874">
        <v>4</v>
      </c>
      <c r="J3874">
        <v>0.17185068465818601</v>
      </c>
      <c r="L3874">
        <v>-1.3217093485861199E-2</v>
      </c>
      <c r="M3874">
        <v>1</v>
      </c>
      <c r="O3874">
        <v>-1.3217093485861199E-2</v>
      </c>
    </row>
    <row r="3875" spans="1:15" hidden="1" x14ac:dyDescent="0.3">
      <c r="A3875" t="s">
        <v>120</v>
      </c>
      <c r="B3875" t="s">
        <v>279</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120</v>
      </c>
      <c r="B3876" t="s">
        <v>262</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120</v>
      </c>
      <c r="B3877" t="s">
        <v>321</v>
      </c>
      <c r="C3877">
        <v>0</v>
      </c>
      <c r="D3877">
        <v>1</v>
      </c>
      <c r="E3877">
        <v>2</v>
      </c>
      <c r="F3877">
        <v>214</v>
      </c>
      <c r="G3877">
        <v>217</v>
      </c>
      <c r="H3877">
        <v>2</v>
      </c>
      <c r="I3877">
        <v>1</v>
      </c>
      <c r="J3877">
        <v>8.9972904061745101E-2</v>
      </c>
      <c r="L3877">
        <v>-6.5624935913179798E-3</v>
      </c>
      <c r="M3877">
        <v>1</v>
      </c>
      <c r="O3877">
        <v>-6.5624935913179798E-3</v>
      </c>
    </row>
    <row r="3878" spans="1:15" hidden="1" x14ac:dyDescent="0.3">
      <c r="A3878" t="s">
        <v>120</v>
      </c>
      <c r="B3878" t="s">
        <v>215</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120</v>
      </c>
      <c r="B3879" t="s">
        <v>253</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120</v>
      </c>
      <c r="B3880" t="s">
        <v>341</v>
      </c>
      <c r="C3880">
        <v>0</v>
      </c>
      <c r="D3880">
        <v>1</v>
      </c>
      <c r="E3880">
        <v>2</v>
      </c>
      <c r="F3880">
        <v>214</v>
      </c>
      <c r="G3880">
        <v>217</v>
      </c>
      <c r="H3880">
        <v>2</v>
      </c>
      <c r="I3880">
        <v>1</v>
      </c>
      <c r="J3880">
        <v>8.9972904061745101E-2</v>
      </c>
      <c r="L3880">
        <v>-6.5624935913179798E-3</v>
      </c>
      <c r="M3880">
        <v>1</v>
      </c>
      <c r="O3880">
        <v>-6.5624935913179798E-3</v>
      </c>
    </row>
    <row r="3881" spans="1:15" hidden="1" x14ac:dyDescent="0.3">
      <c r="A3881" t="s">
        <v>120</v>
      </c>
      <c r="B3881" t="s">
        <v>214</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120</v>
      </c>
      <c r="B3882" t="s">
        <v>168</v>
      </c>
      <c r="C3882">
        <v>0</v>
      </c>
      <c r="D3882">
        <v>5</v>
      </c>
      <c r="E3882">
        <v>2</v>
      </c>
      <c r="F3882">
        <v>210</v>
      </c>
      <c r="G3882">
        <v>217</v>
      </c>
      <c r="H3882">
        <v>2</v>
      </c>
      <c r="I3882">
        <v>5</v>
      </c>
      <c r="J3882">
        <v>0.190078954435137</v>
      </c>
      <c r="L3882">
        <v>-1.48119705393753E-2</v>
      </c>
      <c r="M3882">
        <v>1</v>
      </c>
      <c r="O3882">
        <v>-1.48119705393753E-2</v>
      </c>
    </row>
    <row r="3883" spans="1:15" hidden="1" x14ac:dyDescent="0.3">
      <c r="A3883" t="s">
        <v>120</v>
      </c>
      <c r="B3883" t="s">
        <v>352</v>
      </c>
      <c r="C3883">
        <v>0</v>
      </c>
      <c r="D3883">
        <v>1</v>
      </c>
      <c r="E3883">
        <v>2</v>
      </c>
      <c r="F3883">
        <v>214</v>
      </c>
      <c r="G3883">
        <v>217</v>
      </c>
      <c r="H3883">
        <v>2</v>
      </c>
      <c r="I3883">
        <v>1</v>
      </c>
      <c r="J3883">
        <v>8.9972904061745101E-2</v>
      </c>
      <c r="L3883">
        <v>-6.5624935913179798E-3</v>
      </c>
      <c r="M3883">
        <v>1</v>
      </c>
      <c r="O3883">
        <v>-6.5624935913179798E-3</v>
      </c>
    </row>
    <row r="3884" spans="1:15" x14ac:dyDescent="0.3">
      <c r="A3884" t="s">
        <v>120</v>
      </c>
      <c r="B3884" t="s">
        <v>169</v>
      </c>
      <c r="C3884">
        <v>0</v>
      </c>
      <c r="D3884">
        <v>2</v>
      </c>
      <c r="E3884">
        <v>2</v>
      </c>
      <c r="F3884">
        <v>213</v>
      </c>
      <c r="G3884">
        <v>217</v>
      </c>
      <c r="H3884">
        <v>2</v>
      </c>
      <c r="I3884">
        <v>2</v>
      </c>
      <c r="J3884">
        <v>0.124826680957052</v>
      </c>
      <c r="L3884">
        <v>-9.30232558139534E-3</v>
      </c>
      <c r="M3884">
        <v>1</v>
      </c>
      <c r="O3884">
        <v>-9.30232558139534E-3</v>
      </c>
    </row>
    <row r="3885" spans="1:15" x14ac:dyDescent="0.3">
      <c r="A3885" t="s">
        <v>120</v>
      </c>
      <c r="B3885" t="s">
        <v>175</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120</v>
      </c>
      <c r="B3886" t="s">
        <v>340</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120</v>
      </c>
      <c r="B3887" t="s">
        <v>346</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120</v>
      </c>
      <c r="B3888" t="s">
        <v>309</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120</v>
      </c>
      <c r="B3889" t="s">
        <v>148</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120</v>
      </c>
      <c r="B3890" t="s">
        <v>173</v>
      </c>
      <c r="C3890">
        <v>0</v>
      </c>
      <c r="D3890">
        <v>2</v>
      </c>
      <c r="E3890">
        <v>2</v>
      </c>
      <c r="F3890">
        <v>213</v>
      </c>
      <c r="G3890">
        <v>217</v>
      </c>
      <c r="H3890">
        <v>2</v>
      </c>
      <c r="I3890">
        <v>2</v>
      </c>
      <c r="J3890">
        <v>0.124826680957052</v>
      </c>
      <c r="L3890">
        <v>-9.30232558139534E-3</v>
      </c>
      <c r="M3890">
        <v>1</v>
      </c>
      <c r="O3890">
        <v>-9.30232558139534E-3</v>
      </c>
    </row>
    <row r="3891" spans="1:15" hidden="1" x14ac:dyDescent="0.3">
      <c r="A3891" t="s">
        <v>120</v>
      </c>
      <c r="B3891" t="s">
        <v>217</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120</v>
      </c>
      <c r="B3892" t="s">
        <v>348</v>
      </c>
      <c r="C3892">
        <v>0</v>
      </c>
      <c r="D3892">
        <v>1</v>
      </c>
      <c r="E3892">
        <v>2</v>
      </c>
      <c r="F3892">
        <v>214</v>
      </c>
      <c r="G3892">
        <v>217</v>
      </c>
      <c r="H3892">
        <v>2</v>
      </c>
      <c r="I3892">
        <v>1</v>
      </c>
      <c r="J3892">
        <v>8.9972904061745101E-2</v>
      </c>
      <c r="L3892">
        <v>-6.5624935913179798E-3</v>
      </c>
      <c r="M3892">
        <v>1</v>
      </c>
      <c r="O3892">
        <v>-6.5624935913179798E-3</v>
      </c>
    </row>
    <row r="3893" spans="1:15" hidden="1" x14ac:dyDescent="0.3">
      <c r="A3893" t="s">
        <v>120</v>
      </c>
      <c r="B3893" t="s">
        <v>222</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120</v>
      </c>
      <c r="B3894" t="s">
        <v>269</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120</v>
      </c>
      <c r="B3895" t="s">
        <v>349</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120</v>
      </c>
      <c r="B3896" t="s">
        <v>274</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120</v>
      </c>
      <c r="B3897" t="s">
        <v>316</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120</v>
      </c>
      <c r="B3898" t="s">
        <v>350</v>
      </c>
      <c r="C3898">
        <v>0</v>
      </c>
      <c r="D3898">
        <v>1</v>
      </c>
      <c r="E3898">
        <v>2</v>
      </c>
      <c r="F3898">
        <v>214</v>
      </c>
      <c r="G3898">
        <v>217</v>
      </c>
      <c r="H3898">
        <v>2</v>
      </c>
      <c r="I3898">
        <v>1</v>
      </c>
      <c r="J3898">
        <v>8.9972904061745101E-2</v>
      </c>
      <c r="L3898">
        <v>-6.5624935913179798E-3</v>
      </c>
      <c r="M3898">
        <v>1</v>
      </c>
      <c r="O3898">
        <v>-6.5624935913179798E-3</v>
      </c>
    </row>
    <row r="3899" spans="1:15" hidden="1" x14ac:dyDescent="0.3">
      <c r="A3899" t="s">
        <v>120</v>
      </c>
      <c r="B3899" t="s">
        <v>218</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120</v>
      </c>
      <c r="B3900" t="s">
        <v>261</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120</v>
      </c>
      <c r="B3901" t="s">
        <v>277</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120</v>
      </c>
      <c r="B3902" t="s">
        <v>251</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120</v>
      </c>
      <c r="B3903" t="s">
        <v>259</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120</v>
      </c>
      <c r="B3904" t="s">
        <v>329</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120</v>
      </c>
      <c r="B3905" t="s">
        <v>360</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120</v>
      </c>
      <c r="B3906" t="s">
        <v>358</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120</v>
      </c>
      <c r="B3907" t="s">
        <v>312</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120</v>
      </c>
      <c r="B3908" t="s">
        <v>361</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120</v>
      </c>
      <c r="B3909" t="s">
        <v>288</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120</v>
      </c>
      <c r="B3910" t="s">
        <v>306</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120</v>
      </c>
      <c r="B3911" t="s">
        <v>345</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120</v>
      </c>
      <c r="B3912" t="s">
        <v>338</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120</v>
      </c>
      <c r="B3913" t="s">
        <v>267</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120</v>
      </c>
      <c r="B3914" t="s">
        <v>194</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120</v>
      </c>
      <c r="B3915" t="s">
        <v>328</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120</v>
      </c>
      <c r="B3916" t="s">
        <v>293</v>
      </c>
      <c r="C3916">
        <v>0</v>
      </c>
      <c r="D3916">
        <v>2</v>
      </c>
      <c r="E3916">
        <v>2</v>
      </c>
      <c r="F3916">
        <v>213</v>
      </c>
      <c r="G3916">
        <v>217</v>
      </c>
      <c r="H3916">
        <v>2</v>
      </c>
      <c r="I3916">
        <v>2</v>
      </c>
      <c r="J3916">
        <v>0.124826680957052</v>
      </c>
      <c r="L3916">
        <v>-9.30232558139534E-3</v>
      </c>
      <c r="M3916">
        <v>1</v>
      </c>
      <c r="O3916">
        <v>-9.30232558139534E-3</v>
      </c>
    </row>
    <row r="3917" spans="1:15" hidden="1" x14ac:dyDescent="0.3">
      <c r="A3917" t="s">
        <v>120</v>
      </c>
      <c r="B3917" t="s">
        <v>216</v>
      </c>
      <c r="C3917">
        <v>0</v>
      </c>
      <c r="D3917">
        <v>3</v>
      </c>
      <c r="E3917">
        <v>2</v>
      </c>
      <c r="F3917">
        <v>212</v>
      </c>
      <c r="G3917">
        <v>217</v>
      </c>
      <c r="H3917">
        <v>2</v>
      </c>
      <c r="I3917">
        <v>3</v>
      </c>
      <c r="J3917">
        <v>0.15066306992548201</v>
      </c>
      <c r="L3917">
        <v>-1.14195636249397E-2</v>
      </c>
      <c r="M3917">
        <v>1</v>
      </c>
      <c r="O3917">
        <v>-1.14195636249397E-2</v>
      </c>
    </row>
    <row r="3918" spans="1:15" hidden="1" x14ac:dyDescent="0.3">
      <c r="A3918" t="s">
        <v>120</v>
      </c>
      <c r="B3918" t="s">
        <v>264</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120</v>
      </c>
      <c r="B3919" t="s">
        <v>359</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120</v>
      </c>
      <c r="B3920" t="s">
        <v>313</v>
      </c>
      <c r="C3920">
        <v>0</v>
      </c>
      <c r="D3920">
        <v>1</v>
      </c>
      <c r="E3920">
        <v>2</v>
      </c>
      <c r="F3920">
        <v>214</v>
      </c>
      <c r="G3920">
        <v>217</v>
      </c>
      <c r="H3920">
        <v>2</v>
      </c>
      <c r="I3920">
        <v>1</v>
      </c>
      <c r="J3920">
        <v>8.9972904061745101E-2</v>
      </c>
      <c r="L3920">
        <v>-6.5624935913179798E-3</v>
      </c>
      <c r="M3920">
        <v>1</v>
      </c>
      <c r="O3920">
        <v>-6.5624935913179798E-3</v>
      </c>
    </row>
    <row r="3921" spans="1:15" hidden="1" x14ac:dyDescent="0.3">
      <c r="A3921" t="s">
        <v>120</v>
      </c>
      <c r="B3921" t="s">
        <v>331</v>
      </c>
      <c r="C3921">
        <v>0</v>
      </c>
      <c r="D3921">
        <v>2</v>
      </c>
      <c r="E3921">
        <v>2</v>
      </c>
      <c r="F3921">
        <v>213</v>
      </c>
      <c r="G3921">
        <v>217</v>
      </c>
      <c r="H3921">
        <v>2</v>
      </c>
      <c r="I3921">
        <v>2</v>
      </c>
      <c r="J3921">
        <v>0.124826680957052</v>
      </c>
      <c r="L3921">
        <v>-9.30232558139534E-3</v>
      </c>
      <c r="M3921">
        <v>1</v>
      </c>
      <c r="O3921">
        <v>-9.30232558139534E-3</v>
      </c>
    </row>
    <row r="3922" spans="1:15" hidden="1" x14ac:dyDescent="0.3">
      <c r="A3922" t="s">
        <v>120</v>
      </c>
      <c r="B3922" t="s">
        <v>285</v>
      </c>
      <c r="C3922">
        <v>0</v>
      </c>
      <c r="D3922">
        <v>1</v>
      </c>
      <c r="E3922">
        <v>2</v>
      </c>
      <c r="F3922">
        <v>214</v>
      </c>
      <c r="G3922">
        <v>217</v>
      </c>
      <c r="H3922">
        <v>2</v>
      </c>
      <c r="I3922">
        <v>1</v>
      </c>
      <c r="J3922">
        <v>8.9972904061745101E-2</v>
      </c>
      <c r="L3922">
        <v>-6.5624935913179798E-3</v>
      </c>
      <c r="M3922">
        <v>1</v>
      </c>
      <c r="O3922">
        <v>-6.5624935913179798E-3</v>
      </c>
    </row>
    <row r="3923" spans="1:15" x14ac:dyDescent="0.3">
      <c r="A3923" t="s">
        <v>120</v>
      </c>
      <c r="B3923" t="s">
        <v>152</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120</v>
      </c>
      <c r="B3924" t="s">
        <v>311</v>
      </c>
      <c r="C3924">
        <v>0</v>
      </c>
      <c r="D3924">
        <v>1</v>
      </c>
      <c r="E3924">
        <v>2</v>
      </c>
      <c r="F3924">
        <v>214</v>
      </c>
      <c r="G3924">
        <v>217</v>
      </c>
      <c r="H3924">
        <v>2</v>
      </c>
      <c r="I3924">
        <v>1</v>
      </c>
      <c r="J3924">
        <v>8.9972904061745101E-2</v>
      </c>
      <c r="L3924">
        <v>-6.5624935913179798E-3</v>
      </c>
      <c r="M3924">
        <v>1</v>
      </c>
      <c r="O3924">
        <v>-6.5624935913179798E-3</v>
      </c>
    </row>
    <row r="3925" spans="1:15" hidden="1" x14ac:dyDescent="0.3">
      <c r="A3925" t="s">
        <v>120</v>
      </c>
      <c r="B3925" t="s">
        <v>213</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120</v>
      </c>
      <c r="B3926" t="s">
        <v>330</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120</v>
      </c>
      <c r="B3927" t="s">
        <v>252</v>
      </c>
      <c r="C3927">
        <v>0</v>
      </c>
      <c r="D3927">
        <v>3</v>
      </c>
      <c r="E3927">
        <v>2</v>
      </c>
      <c r="F3927">
        <v>212</v>
      </c>
      <c r="G3927">
        <v>217</v>
      </c>
      <c r="H3927">
        <v>2</v>
      </c>
      <c r="I3927">
        <v>3</v>
      </c>
      <c r="J3927">
        <v>0.15066306992548201</v>
      </c>
      <c r="L3927">
        <v>-1.14195636249397E-2</v>
      </c>
      <c r="M3927">
        <v>1</v>
      </c>
      <c r="O3927">
        <v>-1.14195636249397E-2</v>
      </c>
    </row>
    <row r="3928" spans="1:15" x14ac:dyDescent="0.3">
      <c r="A3928" t="s">
        <v>120</v>
      </c>
      <c r="B3928" t="s">
        <v>170</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120</v>
      </c>
      <c r="B3929" t="s">
        <v>281</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120</v>
      </c>
      <c r="B3930" t="s">
        <v>324</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120</v>
      </c>
      <c r="B3931" t="s">
        <v>278</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120</v>
      </c>
      <c r="B3932" t="s">
        <v>292</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120</v>
      </c>
      <c r="B3933" t="s">
        <v>172</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120</v>
      </c>
      <c r="B3934" t="s">
        <v>323</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120</v>
      </c>
      <c r="B3935" t="s">
        <v>326</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120</v>
      </c>
      <c r="B3936" t="s">
        <v>325</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120</v>
      </c>
      <c r="B3937" t="s">
        <v>256</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120</v>
      </c>
      <c r="B3938" t="s">
        <v>243</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120</v>
      </c>
      <c r="B3939" t="s">
        <v>327</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120</v>
      </c>
      <c r="B3940" t="s">
        <v>174</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120</v>
      </c>
      <c r="B3941" t="s">
        <v>260</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120</v>
      </c>
      <c r="B3942" t="s">
        <v>280</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120</v>
      </c>
      <c r="B3943" t="s">
        <v>318</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120</v>
      </c>
      <c r="B3944" t="s">
        <v>244</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120</v>
      </c>
      <c r="B3945" t="s">
        <v>336</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120</v>
      </c>
      <c r="B3946" t="s">
        <v>304</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120</v>
      </c>
      <c r="B3947" t="s">
        <v>270</v>
      </c>
      <c r="C3947">
        <v>0</v>
      </c>
      <c r="D3947">
        <v>3</v>
      </c>
      <c r="E3947">
        <v>2</v>
      </c>
      <c r="F3947">
        <v>212</v>
      </c>
      <c r="G3947">
        <v>217</v>
      </c>
      <c r="H3947">
        <v>2</v>
      </c>
      <c r="I3947">
        <v>3</v>
      </c>
      <c r="J3947">
        <v>0.15066306992548201</v>
      </c>
      <c r="L3947">
        <v>-1.14195636249397E-2</v>
      </c>
      <c r="M3947">
        <v>1</v>
      </c>
      <c r="O3947">
        <v>-1.14195636249397E-2</v>
      </c>
    </row>
    <row r="3948" spans="1:15" x14ac:dyDescent="0.3">
      <c r="A3948" t="s">
        <v>120</v>
      </c>
      <c r="B3948" t="s">
        <v>257</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120</v>
      </c>
      <c r="B3949" t="s">
        <v>307</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120</v>
      </c>
      <c r="B3950" t="s">
        <v>286</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120</v>
      </c>
      <c r="B3951" t="s">
        <v>198</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120</v>
      </c>
      <c r="B3952" t="s">
        <v>289</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120</v>
      </c>
      <c r="B3953" t="s">
        <v>282</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120</v>
      </c>
      <c r="B3954" t="s">
        <v>291</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121</v>
      </c>
      <c r="B3955" t="s">
        <v>3</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121</v>
      </c>
      <c r="B3956" t="s">
        <v>1</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121</v>
      </c>
      <c r="B3957" t="s">
        <v>314</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121</v>
      </c>
      <c r="B3958" t="s">
        <v>357</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121</v>
      </c>
      <c r="B3959" t="s">
        <v>356</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121</v>
      </c>
      <c r="B3960" t="s">
        <v>273</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121</v>
      </c>
      <c r="B3961" t="s">
        <v>242</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121</v>
      </c>
      <c r="B3962" t="s">
        <v>332</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121</v>
      </c>
      <c r="B3963" t="s">
        <v>355</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121</v>
      </c>
      <c r="B3964" t="s">
        <v>335</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121</v>
      </c>
      <c r="B3965" t="s">
        <v>266</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121</v>
      </c>
      <c r="B3966" t="s">
        <v>272</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121</v>
      </c>
      <c r="B3967" t="s">
        <v>310</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121</v>
      </c>
      <c r="B3968" t="s">
        <v>317</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121</v>
      </c>
      <c r="B3969" t="s">
        <v>9</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121</v>
      </c>
      <c r="B3970" t="s">
        <v>362</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121</v>
      </c>
      <c r="B3971" t="s">
        <v>354</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121</v>
      </c>
      <c r="B3972" t="s">
        <v>353</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121</v>
      </c>
      <c r="B3973" t="s">
        <v>363</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121</v>
      </c>
      <c r="B3974" t="s">
        <v>305</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121</v>
      </c>
      <c r="B3975" t="s">
        <v>339</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121</v>
      </c>
      <c r="B3976" t="s">
        <v>248</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121</v>
      </c>
      <c r="B3977" t="s">
        <v>342</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121</v>
      </c>
      <c r="B3978" t="s">
        <v>315</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121</v>
      </c>
      <c r="B3979" t="s">
        <v>247</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121</v>
      </c>
      <c r="B3980" t="s">
        <v>241</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121</v>
      </c>
      <c r="B3981" t="s">
        <v>334</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121</v>
      </c>
      <c r="B3982" t="s">
        <v>300</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121</v>
      </c>
      <c r="B3983" t="s">
        <v>265</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121</v>
      </c>
      <c r="B3984" t="s">
        <v>271</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121</v>
      </c>
      <c r="B3985" t="s">
        <v>255</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121</v>
      </c>
      <c r="B3986" t="s">
        <v>296</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121</v>
      </c>
      <c r="B3987" t="s">
        <v>249</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121</v>
      </c>
      <c r="B3988" t="s">
        <v>308</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121</v>
      </c>
      <c r="B3989" t="s">
        <v>319</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121</v>
      </c>
      <c r="B3990" t="s">
        <v>245</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121</v>
      </c>
      <c r="B3991" t="s">
        <v>240</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121</v>
      </c>
      <c r="B3992" t="s">
        <v>343</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121</v>
      </c>
      <c r="B3993" t="s">
        <v>258</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121</v>
      </c>
      <c r="B3994" t="s">
        <v>344</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121</v>
      </c>
      <c r="B3995" t="s">
        <v>276</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121</v>
      </c>
      <c r="B3996" t="s">
        <v>333</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121</v>
      </c>
      <c r="B3997" t="s">
        <v>263</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121</v>
      </c>
      <c r="B3998" t="s">
        <v>254</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121</v>
      </c>
      <c r="B3999" t="s">
        <v>320</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121</v>
      </c>
      <c r="B4000" t="s">
        <v>275</v>
      </c>
      <c r="C4000">
        <v>0</v>
      </c>
      <c r="D4000">
        <v>11</v>
      </c>
      <c r="E4000">
        <v>1</v>
      </c>
      <c r="F4000">
        <v>205</v>
      </c>
      <c r="G4000">
        <v>217</v>
      </c>
      <c r="H4000">
        <v>1</v>
      </c>
      <c r="I4000">
        <v>11</v>
      </c>
      <c r="J4000">
        <v>0.19837015644199599</v>
      </c>
      <c r="L4000">
        <v>-1.5723016016341299E-2</v>
      </c>
      <c r="M4000">
        <v>1</v>
      </c>
      <c r="O4000">
        <v>-1.5723016016341299E-2</v>
      </c>
    </row>
    <row r="4001" spans="1:15" hidden="1" x14ac:dyDescent="0.3">
      <c r="A4001" t="s">
        <v>121</v>
      </c>
      <c r="B4001" t="s">
        <v>221</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121</v>
      </c>
      <c r="B4002" t="s">
        <v>322</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121</v>
      </c>
      <c r="B4003" t="s">
        <v>303</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121</v>
      </c>
      <c r="B4004" t="s">
        <v>302</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121</v>
      </c>
      <c r="B4005" t="s">
        <v>147</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121</v>
      </c>
      <c r="B4006" t="s">
        <v>284</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121</v>
      </c>
      <c r="B4007" t="s">
        <v>299</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121</v>
      </c>
      <c r="B4008" t="s">
        <v>301</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121</v>
      </c>
      <c r="B4009" t="s">
        <v>268</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121</v>
      </c>
      <c r="B4010" t="s">
        <v>290</v>
      </c>
      <c r="C4010">
        <v>0</v>
      </c>
      <c r="D4010">
        <v>1</v>
      </c>
      <c r="E4010">
        <v>1</v>
      </c>
      <c r="F4010">
        <v>215</v>
      </c>
      <c r="G4010">
        <v>217</v>
      </c>
      <c r="H4010">
        <v>1</v>
      </c>
      <c r="I4010">
        <v>1</v>
      </c>
      <c r="J4010">
        <v>6.4493014968382195E-2</v>
      </c>
      <c r="L4010">
        <v>-4.6296296296296198E-3</v>
      </c>
      <c r="M4010">
        <v>1</v>
      </c>
      <c r="O4010">
        <v>-4.6296296296296198E-3</v>
      </c>
    </row>
    <row r="4011" spans="1:15" hidden="1" x14ac:dyDescent="0.3">
      <c r="A4011" t="s">
        <v>121</v>
      </c>
      <c r="B4011" t="s">
        <v>351</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121</v>
      </c>
      <c r="B4012" t="s">
        <v>337</v>
      </c>
      <c r="C4012">
        <v>0</v>
      </c>
      <c r="D4012">
        <v>3</v>
      </c>
      <c r="E4012">
        <v>1</v>
      </c>
      <c r="F4012">
        <v>213</v>
      </c>
      <c r="G4012">
        <v>217</v>
      </c>
      <c r="H4012">
        <v>1</v>
      </c>
      <c r="I4012">
        <v>3</v>
      </c>
      <c r="J4012">
        <v>0.109052747711589</v>
      </c>
      <c r="L4012">
        <v>-8.0561374087138593E-3</v>
      </c>
      <c r="M4012">
        <v>1</v>
      </c>
      <c r="O4012">
        <v>-8.0561374087138593E-3</v>
      </c>
    </row>
    <row r="4013" spans="1:15" hidden="1" x14ac:dyDescent="0.3">
      <c r="A4013" t="s">
        <v>121</v>
      </c>
      <c r="B4013" t="s">
        <v>212</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121</v>
      </c>
      <c r="B4014" t="s">
        <v>250</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121</v>
      </c>
      <c r="B4015" t="s">
        <v>246</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121</v>
      </c>
      <c r="B4016" t="s">
        <v>347</v>
      </c>
      <c r="C4016">
        <v>0</v>
      </c>
      <c r="D4016">
        <v>1</v>
      </c>
      <c r="E4016">
        <v>1</v>
      </c>
      <c r="F4016">
        <v>215</v>
      </c>
      <c r="G4016">
        <v>217</v>
      </c>
      <c r="H4016">
        <v>1</v>
      </c>
      <c r="I4016">
        <v>1</v>
      </c>
      <c r="J4016">
        <v>6.4493014968382195E-2</v>
      </c>
      <c r="L4016">
        <v>-4.6296296296296198E-3</v>
      </c>
      <c r="M4016">
        <v>1</v>
      </c>
      <c r="O4016">
        <v>-4.6296296296296198E-3</v>
      </c>
    </row>
    <row r="4017" spans="1:15" hidden="1" x14ac:dyDescent="0.3">
      <c r="A4017" t="s">
        <v>121</v>
      </c>
      <c r="B4017" t="s">
        <v>153</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121</v>
      </c>
      <c r="B4018" t="s">
        <v>283</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121</v>
      </c>
      <c r="B4019" t="s">
        <v>5</v>
      </c>
      <c r="C4019">
        <v>0</v>
      </c>
      <c r="D4019">
        <v>3</v>
      </c>
      <c r="E4019">
        <v>1</v>
      </c>
      <c r="F4019">
        <v>213</v>
      </c>
      <c r="G4019">
        <v>217</v>
      </c>
      <c r="H4019">
        <v>1</v>
      </c>
      <c r="I4019">
        <v>3</v>
      </c>
      <c r="J4019">
        <v>0.109052747711589</v>
      </c>
      <c r="L4019">
        <v>-8.0561374087138593E-3</v>
      </c>
      <c r="M4019">
        <v>1</v>
      </c>
      <c r="O4019">
        <v>-8.0561374087138593E-3</v>
      </c>
    </row>
    <row r="4020" spans="1:15" hidden="1" x14ac:dyDescent="0.3">
      <c r="A4020" t="s">
        <v>121</v>
      </c>
      <c r="B4020" t="s">
        <v>219</v>
      </c>
      <c r="C4020">
        <v>0</v>
      </c>
      <c r="D4020">
        <v>4</v>
      </c>
      <c r="E4020">
        <v>1</v>
      </c>
      <c r="F4020">
        <v>212</v>
      </c>
      <c r="G4020">
        <v>217</v>
      </c>
      <c r="H4020">
        <v>1</v>
      </c>
      <c r="I4020">
        <v>4</v>
      </c>
      <c r="J4020">
        <v>0.124826680957052</v>
      </c>
      <c r="L4020">
        <v>-9.3242373144076501E-3</v>
      </c>
      <c r="M4020">
        <v>1</v>
      </c>
      <c r="O4020">
        <v>-9.3242373144076501E-3</v>
      </c>
    </row>
    <row r="4021" spans="1:15" hidden="1" x14ac:dyDescent="0.3">
      <c r="A4021" t="s">
        <v>121</v>
      </c>
      <c r="B4021" t="s">
        <v>220</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121</v>
      </c>
      <c r="B4022" t="s">
        <v>201</v>
      </c>
      <c r="C4022">
        <v>0</v>
      </c>
      <c r="D4022">
        <v>4</v>
      </c>
      <c r="E4022">
        <v>1</v>
      </c>
      <c r="F4022">
        <v>212</v>
      </c>
      <c r="G4022">
        <v>217</v>
      </c>
      <c r="H4022">
        <v>1</v>
      </c>
      <c r="I4022">
        <v>4</v>
      </c>
      <c r="J4022">
        <v>0.124826680957052</v>
      </c>
      <c r="L4022">
        <v>-9.3242373144076501E-3</v>
      </c>
      <c r="M4022">
        <v>1</v>
      </c>
      <c r="O4022">
        <v>-9.3242373144076501E-3</v>
      </c>
    </row>
    <row r="4023" spans="1:15" hidden="1" x14ac:dyDescent="0.3">
      <c r="A4023" t="s">
        <v>121</v>
      </c>
      <c r="B4023" t="s">
        <v>279</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121</v>
      </c>
      <c r="B4024" t="s">
        <v>262</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121</v>
      </c>
      <c r="B4025" t="s">
        <v>321</v>
      </c>
      <c r="C4025">
        <v>0</v>
      </c>
      <c r="D4025">
        <v>1</v>
      </c>
      <c r="E4025">
        <v>1</v>
      </c>
      <c r="F4025">
        <v>215</v>
      </c>
      <c r="G4025">
        <v>217</v>
      </c>
      <c r="H4025">
        <v>1</v>
      </c>
      <c r="I4025">
        <v>1</v>
      </c>
      <c r="J4025">
        <v>6.4493014968382195E-2</v>
      </c>
      <c r="L4025">
        <v>-4.6296296296296198E-3</v>
      </c>
      <c r="M4025">
        <v>1</v>
      </c>
      <c r="O4025">
        <v>-4.6296296296296198E-3</v>
      </c>
    </row>
    <row r="4026" spans="1:15" hidden="1" x14ac:dyDescent="0.3">
      <c r="A4026" t="s">
        <v>121</v>
      </c>
      <c r="B4026" t="s">
        <v>215</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121</v>
      </c>
      <c r="B4027" t="s">
        <v>253</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121</v>
      </c>
      <c r="B4028" t="s">
        <v>341</v>
      </c>
      <c r="C4028">
        <v>0</v>
      </c>
      <c r="D4028">
        <v>1</v>
      </c>
      <c r="E4028">
        <v>1</v>
      </c>
      <c r="F4028">
        <v>215</v>
      </c>
      <c r="G4028">
        <v>217</v>
      </c>
      <c r="H4028">
        <v>1</v>
      </c>
      <c r="I4028">
        <v>1</v>
      </c>
      <c r="J4028">
        <v>6.4493014968382195E-2</v>
      </c>
      <c r="L4028">
        <v>-4.6296296296296198E-3</v>
      </c>
      <c r="M4028">
        <v>1</v>
      </c>
      <c r="O4028">
        <v>-4.6296296296296198E-3</v>
      </c>
    </row>
    <row r="4029" spans="1:15" hidden="1" x14ac:dyDescent="0.3">
      <c r="A4029" t="s">
        <v>121</v>
      </c>
      <c r="B4029" t="s">
        <v>214</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121</v>
      </c>
      <c r="B4030" t="s">
        <v>168</v>
      </c>
      <c r="C4030">
        <v>0</v>
      </c>
      <c r="D4030">
        <v>5</v>
      </c>
      <c r="E4030">
        <v>1</v>
      </c>
      <c r="F4030">
        <v>211</v>
      </c>
      <c r="G4030">
        <v>217</v>
      </c>
      <c r="H4030">
        <v>1</v>
      </c>
      <c r="I4030">
        <v>5</v>
      </c>
      <c r="J4030">
        <v>0.138492225345964</v>
      </c>
      <c r="L4030">
        <v>-1.0449372136989901E-2</v>
      </c>
      <c r="M4030">
        <v>1</v>
      </c>
      <c r="O4030">
        <v>-1.0449372136989901E-2</v>
      </c>
    </row>
    <row r="4031" spans="1:15" hidden="1" x14ac:dyDescent="0.3">
      <c r="A4031" t="s">
        <v>121</v>
      </c>
      <c r="B4031" t="s">
        <v>352</v>
      </c>
      <c r="C4031">
        <v>0</v>
      </c>
      <c r="D4031">
        <v>1</v>
      </c>
      <c r="E4031">
        <v>1</v>
      </c>
      <c r="F4031">
        <v>215</v>
      </c>
      <c r="G4031">
        <v>217</v>
      </c>
      <c r="H4031">
        <v>1</v>
      </c>
      <c r="I4031">
        <v>1</v>
      </c>
      <c r="J4031">
        <v>6.4493014968382195E-2</v>
      </c>
      <c r="L4031">
        <v>-4.6296296296296198E-3</v>
      </c>
      <c r="M4031">
        <v>1</v>
      </c>
      <c r="O4031">
        <v>-4.6296296296296198E-3</v>
      </c>
    </row>
    <row r="4032" spans="1:15" x14ac:dyDescent="0.3">
      <c r="A4032" t="s">
        <v>121</v>
      </c>
      <c r="B4032" t="s">
        <v>169</v>
      </c>
      <c r="C4032">
        <v>0</v>
      </c>
      <c r="D4032">
        <v>2</v>
      </c>
      <c r="E4032">
        <v>1</v>
      </c>
      <c r="F4032">
        <v>214</v>
      </c>
      <c r="G4032">
        <v>217</v>
      </c>
      <c r="H4032">
        <v>1</v>
      </c>
      <c r="I4032">
        <v>2</v>
      </c>
      <c r="J4032">
        <v>8.9972904061745101E-2</v>
      </c>
      <c r="L4032">
        <v>-6.5624935913179798E-3</v>
      </c>
      <c r="M4032">
        <v>1</v>
      </c>
      <c r="O4032">
        <v>-6.5624935913179798E-3</v>
      </c>
    </row>
    <row r="4033" spans="1:15" x14ac:dyDescent="0.3">
      <c r="A4033" t="s">
        <v>121</v>
      </c>
      <c r="B4033" t="s">
        <v>175</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121</v>
      </c>
      <c r="B4034" t="s">
        <v>340</v>
      </c>
      <c r="C4034">
        <v>0</v>
      </c>
      <c r="D4034">
        <v>1</v>
      </c>
      <c r="E4034">
        <v>1</v>
      </c>
      <c r="F4034">
        <v>215</v>
      </c>
      <c r="G4034">
        <v>217</v>
      </c>
      <c r="H4034">
        <v>1</v>
      </c>
      <c r="I4034">
        <v>1</v>
      </c>
      <c r="J4034">
        <v>6.4493014968382195E-2</v>
      </c>
      <c r="L4034">
        <v>-4.6296296296296198E-3</v>
      </c>
      <c r="M4034">
        <v>1</v>
      </c>
      <c r="O4034">
        <v>-4.6296296296296198E-3</v>
      </c>
    </row>
    <row r="4035" spans="1:15" hidden="1" x14ac:dyDescent="0.3">
      <c r="A4035" t="s">
        <v>121</v>
      </c>
      <c r="B4035" t="s">
        <v>190</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121</v>
      </c>
      <c r="B4036" t="s">
        <v>346</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121</v>
      </c>
      <c r="B4037" t="s">
        <v>309</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121</v>
      </c>
      <c r="B4038" t="s">
        <v>148</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121</v>
      </c>
      <c r="B4039" t="s">
        <v>173</v>
      </c>
      <c r="C4039">
        <v>0</v>
      </c>
      <c r="D4039">
        <v>2</v>
      </c>
      <c r="E4039">
        <v>1</v>
      </c>
      <c r="F4039">
        <v>214</v>
      </c>
      <c r="G4039">
        <v>217</v>
      </c>
      <c r="H4039">
        <v>1</v>
      </c>
      <c r="I4039">
        <v>2</v>
      </c>
      <c r="J4039">
        <v>8.9972904061745101E-2</v>
      </c>
      <c r="L4039">
        <v>-6.5624935913179798E-3</v>
      </c>
      <c r="M4039">
        <v>1</v>
      </c>
      <c r="O4039">
        <v>-6.5624935913179798E-3</v>
      </c>
    </row>
    <row r="4040" spans="1:15" hidden="1" x14ac:dyDescent="0.3">
      <c r="A4040" t="s">
        <v>121</v>
      </c>
      <c r="B4040" t="s">
        <v>217</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121</v>
      </c>
      <c r="B4041" t="s">
        <v>348</v>
      </c>
      <c r="C4041">
        <v>0</v>
      </c>
      <c r="D4041">
        <v>1</v>
      </c>
      <c r="E4041">
        <v>1</v>
      </c>
      <c r="F4041">
        <v>215</v>
      </c>
      <c r="G4041">
        <v>217</v>
      </c>
      <c r="H4041">
        <v>1</v>
      </c>
      <c r="I4041">
        <v>1</v>
      </c>
      <c r="J4041">
        <v>6.4493014968382195E-2</v>
      </c>
      <c r="L4041">
        <v>-4.6296296296296198E-3</v>
      </c>
      <c r="M4041">
        <v>1</v>
      </c>
      <c r="O4041">
        <v>-4.6296296296296198E-3</v>
      </c>
    </row>
    <row r="4042" spans="1:15" hidden="1" x14ac:dyDescent="0.3">
      <c r="A4042" t="s">
        <v>121</v>
      </c>
      <c r="B4042" t="s">
        <v>222</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121</v>
      </c>
      <c r="B4043" t="s">
        <v>269</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121</v>
      </c>
      <c r="B4044" t="s">
        <v>349</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121</v>
      </c>
      <c r="B4045" t="s">
        <v>274</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121</v>
      </c>
      <c r="B4046" t="s">
        <v>316</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121</v>
      </c>
      <c r="B4047" t="s">
        <v>350</v>
      </c>
      <c r="C4047">
        <v>0</v>
      </c>
      <c r="D4047">
        <v>1</v>
      </c>
      <c r="E4047">
        <v>1</v>
      </c>
      <c r="F4047">
        <v>215</v>
      </c>
      <c r="G4047">
        <v>217</v>
      </c>
      <c r="H4047">
        <v>1</v>
      </c>
      <c r="I4047">
        <v>1</v>
      </c>
      <c r="J4047">
        <v>6.4493014968382195E-2</v>
      </c>
      <c r="L4047">
        <v>-4.6296296296296198E-3</v>
      </c>
      <c r="M4047">
        <v>1</v>
      </c>
      <c r="O4047">
        <v>-4.6296296296296198E-3</v>
      </c>
    </row>
    <row r="4048" spans="1:15" hidden="1" x14ac:dyDescent="0.3">
      <c r="A4048" t="s">
        <v>121</v>
      </c>
      <c r="B4048" t="s">
        <v>218</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121</v>
      </c>
      <c r="B4049" t="s">
        <v>261</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121</v>
      </c>
      <c r="B4050" t="s">
        <v>277</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121</v>
      </c>
      <c r="B4051" t="s">
        <v>251</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121</v>
      </c>
      <c r="B4052" t="s">
        <v>259</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121</v>
      </c>
      <c r="B4053" t="s">
        <v>329</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121</v>
      </c>
      <c r="B4054" t="s">
        <v>360</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121</v>
      </c>
      <c r="B4055" t="s">
        <v>358</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121</v>
      </c>
      <c r="B4056" t="s">
        <v>312</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121</v>
      </c>
      <c r="B4057" t="s">
        <v>361</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121</v>
      </c>
      <c r="B4058" t="s">
        <v>288</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121</v>
      </c>
      <c r="B4059" t="s">
        <v>306</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121</v>
      </c>
      <c r="B4060" t="s">
        <v>345</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121</v>
      </c>
      <c r="B4061" t="s">
        <v>338</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121</v>
      </c>
      <c r="B4062" t="s">
        <v>267</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121</v>
      </c>
      <c r="B4063" t="s">
        <v>194</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121</v>
      </c>
      <c r="B4064" t="s">
        <v>328</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121</v>
      </c>
      <c r="B4065" t="s">
        <v>293</v>
      </c>
      <c r="C4065">
        <v>0</v>
      </c>
      <c r="D4065">
        <v>2</v>
      </c>
      <c r="E4065">
        <v>1</v>
      </c>
      <c r="F4065">
        <v>214</v>
      </c>
      <c r="G4065">
        <v>217</v>
      </c>
      <c r="H4065">
        <v>1</v>
      </c>
      <c r="I4065">
        <v>2</v>
      </c>
      <c r="J4065">
        <v>8.9972904061745101E-2</v>
      </c>
      <c r="L4065">
        <v>-6.5624935913179798E-3</v>
      </c>
      <c r="M4065">
        <v>1</v>
      </c>
      <c r="O4065">
        <v>-6.5624935913179798E-3</v>
      </c>
    </row>
    <row r="4066" spans="1:15" hidden="1" x14ac:dyDescent="0.3">
      <c r="A4066" t="s">
        <v>121</v>
      </c>
      <c r="B4066" t="s">
        <v>216</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121</v>
      </c>
      <c r="B4067" t="s">
        <v>297</v>
      </c>
      <c r="C4067">
        <v>1</v>
      </c>
      <c r="D4067">
        <v>0</v>
      </c>
      <c r="E4067">
        <v>0</v>
      </c>
      <c r="F4067">
        <v>216</v>
      </c>
      <c r="G4067">
        <v>217</v>
      </c>
      <c r="H4067">
        <v>1</v>
      </c>
      <c r="I4067">
        <v>1</v>
      </c>
      <c r="J4067">
        <v>6.4493014968382195E-2</v>
      </c>
      <c r="L4067">
        <v>1</v>
      </c>
      <c r="M4067">
        <v>4.60829493087557E-3</v>
      </c>
      <c r="O4067">
        <v>1</v>
      </c>
    </row>
    <row r="4068" spans="1:15" hidden="1" x14ac:dyDescent="0.3">
      <c r="A4068" t="s">
        <v>121</v>
      </c>
      <c r="B4068" t="s">
        <v>264</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121</v>
      </c>
      <c r="B4069" t="s">
        <v>359</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121</v>
      </c>
      <c r="B4070" t="s">
        <v>313</v>
      </c>
      <c r="C4070">
        <v>0</v>
      </c>
      <c r="D4070">
        <v>1</v>
      </c>
      <c r="E4070">
        <v>1</v>
      </c>
      <c r="F4070">
        <v>215</v>
      </c>
      <c r="G4070">
        <v>217</v>
      </c>
      <c r="H4070">
        <v>1</v>
      </c>
      <c r="I4070">
        <v>1</v>
      </c>
      <c r="J4070">
        <v>6.4493014968382195E-2</v>
      </c>
      <c r="L4070">
        <v>-4.6296296296296198E-3</v>
      </c>
      <c r="M4070">
        <v>1</v>
      </c>
      <c r="O4070">
        <v>-4.6296296296296198E-3</v>
      </c>
    </row>
    <row r="4071" spans="1:15" hidden="1" x14ac:dyDescent="0.3">
      <c r="A4071" t="s">
        <v>121</v>
      </c>
      <c r="B4071" t="s">
        <v>331</v>
      </c>
      <c r="C4071">
        <v>0</v>
      </c>
      <c r="D4071">
        <v>2</v>
      </c>
      <c r="E4071">
        <v>1</v>
      </c>
      <c r="F4071">
        <v>214</v>
      </c>
      <c r="G4071">
        <v>217</v>
      </c>
      <c r="H4071">
        <v>1</v>
      </c>
      <c r="I4071">
        <v>2</v>
      </c>
      <c r="J4071">
        <v>8.9972904061745101E-2</v>
      </c>
      <c r="L4071">
        <v>-6.5624935913179798E-3</v>
      </c>
      <c r="M4071">
        <v>1</v>
      </c>
      <c r="O4071">
        <v>-6.5624935913179798E-3</v>
      </c>
    </row>
    <row r="4072" spans="1:15" hidden="1" x14ac:dyDescent="0.3">
      <c r="A4072" t="s">
        <v>121</v>
      </c>
      <c r="B4072" t="s">
        <v>285</v>
      </c>
      <c r="C4072">
        <v>0</v>
      </c>
      <c r="D4072">
        <v>1</v>
      </c>
      <c r="E4072">
        <v>1</v>
      </c>
      <c r="F4072">
        <v>215</v>
      </c>
      <c r="G4072">
        <v>217</v>
      </c>
      <c r="H4072">
        <v>1</v>
      </c>
      <c r="I4072">
        <v>1</v>
      </c>
      <c r="J4072">
        <v>6.4493014968382195E-2</v>
      </c>
      <c r="L4072">
        <v>-4.6296296296296198E-3</v>
      </c>
      <c r="M4072">
        <v>1</v>
      </c>
      <c r="O4072">
        <v>-4.6296296296296198E-3</v>
      </c>
    </row>
    <row r="4073" spans="1:15" x14ac:dyDescent="0.3">
      <c r="A4073" t="s">
        <v>121</v>
      </c>
      <c r="B4073" t="s">
        <v>152</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121</v>
      </c>
      <c r="B4074" t="s">
        <v>311</v>
      </c>
      <c r="C4074">
        <v>0</v>
      </c>
      <c r="D4074">
        <v>1</v>
      </c>
      <c r="E4074">
        <v>1</v>
      </c>
      <c r="F4074">
        <v>215</v>
      </c>
      <c r="G4074">
        <v>217</v>
      </c>
      <c r="H4074">
        <v>1</v>
      </c>
      <c r="I4074">
        <v>1</v>
      </c>
      <c r="J4074">
        <v>6.4493014968382195E-2</v>
      </c>
      <c r="L4074">
        <v>-4.6296296296296198E-3</v>
      </c>
      <c r="M4074">
        <v>1</v>
      </c>
      <c r="O4074">
        <v>-4.6296296296296198E-3</v>
      </c>
    </row>
    <row r="4075" spans="1:15" hidden="1" x14ac:dyDescent="0.3">
      <c r="A4075" t="s">
        <v>121</v>
      </c>
      <c r="B4075" t="s">
        <v>213</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121</v>
      </c>
      <c r="B4076" t="s">
        <v>330</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121</v>
      </c>
      <c r="B4077" t="s">
        <v>252</v>
      </c>
      <c r="C4077">
        <v>0</v>
      </c>
      <c r="D4077">
        <v>3</v>
      </c>
      <c r="E4077">
        <v>1</v>
      </c>
      <c r="F4077">
        <v>213</v>
      </c>
      <c r="G4077">
        <v>217</v>
      </c>
      <c r="H4077">
        <v>1</v>
      </c>
      <c r="I4077">
        <v>3</v>
      </c>
      <c r="J4077">
        <v>0.109052747711589</v>
      </c>
      <c r="L4077">
        <v>-8.0561374087138593E-3</v>
      </c>
      <c r="M4077">
        <v>1</v>
      </c>
      <c r="O4077">
        <v>-8.0561374087138593E-3</v>
      </c>
    </row>
    <row r="4078" spans="1:15" x14ac:dyDescent="0.3">
      <c r="A4078" t="s">
        <v>121</v>
      </c>
      <c r="B4078" t="s">
        <v>170</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121</v>
      </c>
      <c r="B4079" t="s">
        <v>281</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121</v>
      </c>
      <c r="B4080" t="s">
        <v>324</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121</v>
      </c>
      <c r="B4081" t="s">
        <v>278</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121</v>
      </c>
      <c r="B4082" t="s">
        <v>292</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121</v>
      </c>
      <c r="B4083" t="s">
        <v>172</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121</v>
      </c>
      <c r="B4084" t="s">
        <v>323</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121</v>
      </c>
      <c r="B4085" t="s">
        <v>326</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121</v>
      </c>
      <c r="B4086" t="s">
        <v>325</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121</v>
      </c>
      <c r="B4087" t="s">
        <v>256</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121</v>
      </c>
      <c r="B4088" t="s">
        <v>243</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121</v>
      </c>
      <c r="B4089" t="s">
        <v>327</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121</v>
      </c>
      <c r="B4090" t="s">
        <v>174</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121</v>
      </c>
      <c r="B4091" t="s">
        <v>260</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121</v>
      </c>
      <c r="B4092" t="s">
        <v>280</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121</v>
      </c>
      <c r="B4093" t="s">
        <v>318</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121</v>
      </c>
      <c r="B4094" t="s">
        <v>244</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121</v>
      </c>
      <c r="B4095" t="s">
        <v>336</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121</v>
      </c>
      <c r="B4096" t="s">
        <v>304</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121</v>
      </c>
      <c r="B4097" t="s">
        <v>270</v>
      </c>
      <c r="C4097">
        <v>0</v>
      </c>
      <c r="D4097">
        <v>3</v>
      </c>
      <c r="E4097">
        <v>1</v>
      </c>
      <c r="F4097">
        <v>213</v>
      </c>
      <c r="G4097">
        <v>217</v>
      </c>
      <c r="H4097">
        <v>1</v>
      </c>
      <c r="I4097">
        <v>3</v>
      </c>
      <c r="J4097">
        <v>0.109052747711589</v>
      </c>
      <c r="L4097">
        <v>-8.0561374087138593E-3</v>
      </c>
      <c r="M4097">
        <v>1</v>
      </c>
      <c r="O4097">
        <v>-8.0561374087138593E-3</v>
      </c>
    </row>
    <row r="4098" spans="1:15" x14ac:dyDescent="0.3">
      <c r="A4098" t="s">
        <v>121</v>
      </c>
      <c r="B4098" t="s">
        <v>257</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121</v>
      </c>
      <c r="B4099" t="s">
        <v>307</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121</v>
      </c>
      <c r="B4100" t="s">
        <v>286</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121</v>
      </c>
      <c r="B4101" t="s">
        <v>198</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121</v>
      </c>
      <c r="B4102" t="s">
        <v>289</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121</v>
      </c>
      <c r="B4103" t="s">
        <v>282</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121</v>
      </c>
      <c r="B4104" t="s">
        <v>291</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122</v>
      </c>
      <c r="B4105" t="s">
        <v>3</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122</v>
      </c>
      <c r="B4106" t="s">
        <v>1</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122</v>
      </c>
      <c r="B4107" t="s">
        <v>314</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122</v>
      </c>
      <c r="B4108" t="s">
        <v>357</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122</v>
      </c>
      <c r="B4109" t="s">
        <v>356</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122</v>
      </c>
      <c r="B4110" t="s">
        <v>273</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122</v>
      </c>
      <c r="B4111" t="s">
        <v>242</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122</v>
      </c>
      <c r="B4112" t="s">
        <v>332</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122</v>
      </c>
      <c r="B4113" t="s">
        <v>355</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122</v>
      </c>
      <c r="B4114" t="s">
        <v>335</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122</v>
      </c>
      <c r="B4115" t="s">
        <v>266</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122</v>
      </c>
      <c r="B4116" t="s">
        <v>272</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122</v>
      </c>
      <c r="B4117" t="s">
        <v>310</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122</v>
      </c>
      <c r="B4118" t="s">
        <v>317</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122</v>
      </c>
      <c r="B4119" t="s">
        <v>9</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122</v>
      </c>
      <c r="B4120" t="s">
        <v>362</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122</v>
      </c>
      <c r="B4121" t="s">
        <v>354</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122</v>
      </c>
      <c r="B4122" t="s">
        <v>353</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122</v>
      </c>
      <c r="B4123" t="s">
        <v>363</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122</v>
      </c>
      <c r="B4124" t="s">
        <v>305</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122</v>
      </c>
      <c r="B4125" t="s">
        <v>339</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122</v>
      </c>
      <c r="B4126" t="s">
        <v>248</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122</v>
      </c>
      <c r="B4127" t="s">
        <v>342</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122</v>
      </c>
      <c r="B4128" t="s">
        <v>315</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122</v>
      </c>
      <c r="B4129" t="s">
        <v>247</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122</v>
      </c>
      <c r="B4130" t="s">
        <v>241</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122</v>
      </c>
      <c r="B4131" t="s">
        <v>334</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122</v>
      </c>
      <c r="B4132" t="s">
        <v>300</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122</v>
      </c>
      <c r="B4133" t="s">
        <v>265</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122</v>
      </c>
      <c r="B4134" t="s">
        <v>271</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122</v>
      </c>
      <c r="B4135" t="s">
        <v>255</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122</v>
      </c>
      <c r="B4136" t="s">
        <v>296</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122</v>
      </c>
      <c r="B4137" t="s">
        <v>249</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122</v>
      </c>
      <c r="B4138" t="s">
        <v>308</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122</v>
      </c>
      <c r="B4139" t="s">
        <v>319</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122</v>
      </c>
      <c r="B4140" t="s">
        <v>245</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122</v>
      </c>
      <c r="B4141" t="s">
        <v>240</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122</v>
      </c>
      <c r="B4142" t="s">
        <v>343</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122</v>
      </c>
      <c r="B4143" t="s">
        <v>258</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122</v>
      </c>
      <c r="B4144" t="s">
        <v>344</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122</v>
      </c>
      <c r="B4145" t="s">
        <v>276</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122</v>
      </c>
      <c r="B4146" t="s">
        <v>333</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122</v>
      </c>
      <c r="B4147" t="s">
        <v>263</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122</v>
      </c>
      <c r="B4148" t="s">
        <v>254</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122</v>
      </c>
      <c r="B4149" t="s">
        <v>320</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122</v>
      </c>
      <c r="B4150" t="s">
        <v>275</v>
      </c>
      <c r="C4150">
        <v>0</v>
      </c>
      <c r="D4150">
        <v>11</v>
      </c>
      <c r="E4150">
        <v>1</v>
      </c>
      <c r="F4150">
        <v>205</v>
      </c>
      <c r="G4150">
        <v>217</v>
      </c>
      <c r="H4150">
        <v>1</v>
      </c>
      <c r="I4150">
        <v>11</v>
      </c>
      <c r="J4150">
        <v>0.19837015644199599</v>
      </c>
      <c r="L4150">
        <v>-1.5723016016341299E-2</v>
      </c>
      <c r="M4150">
        <v>1</v>
      </c>
      <c r="O4150">
        <v>-1.5723016016341299E-2</v>
      </c>
    </row>
    <row r="4151" spans="1:15" hidden="1" x14ac:dyDescent="0.3">
      <c r="A4151" t="s">
        <v>122</v>
      </c>
      <c r="B4151" t="s">
        <v>221</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122</v>
      </c>
      <c r="B4152" t="s">
        <v>322</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122</v>
      </c>
      <c r="B4153" t="s">
        <v>303</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122</v>
      </c>
      <c r="B4154" t="s">
        <v>302</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122</v>
      </c>
      <c r="B4155" t="s">
        <v>147</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122</v>
      </c>
      <c r="B4156" t="s">
        <v>284</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122</v>
      </c>
      <c r="B4157" t="s">
        <v>299</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122</v>
      </c>
      <c r="B4158" t="s">
        <v>301</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122</v>
      </c>
      <c r="B4159" t="s">
        <v>268</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122</v>
      </c>
      <c r="B4160" t="s">
        <v>290</v>
      </c>
      <c r="C4160">
        <v>0</v>
      </c>
      <c r="D4160">
        <v>1</v>
      </c>
      <c r="E4160">
        <v>1</v>
      </c>
      <c r="F4160">
        <v>215</v>
      </c>
      <c r="G4160">
        <v>217</v>
      </c>
      <c r="H4160">
        <v>1</v>
      </c>
      <c r="I4160">
        <v>1</v>
      </c>
      <c r="J4160">
        <v>6.4493014968382195E-2</v>
      </c>
      <c r="L4160">
        <v>-4.6296296296296198E-3</v>
      </c>
      <c r="M4160">
        <v>1</v>
      </c>
      <c r="O4160">
        <v>-4.6296296296296198E-3</v>
      </c>
    </row>
    <row r="4161" spans="1:15" hidden="1" x14ac:dyDescent="0.3">
      <c r="A4161" t="s">
        <v>122</v>
      </c>
      <c r="B4161" t="s">
        <v>351</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122</v>
      </c>
      <c r="B4162" t="s">
        <v>337</v>
      </c>
      <c r="C4162">
        <v>0</v>
      </c>
      <c r="D4162">
        <v>3</v>
      </c>
      <c r="E4162">
        <v>1</v>
      </c>
      <c r="F4162">
        <v>213</v>
      </c>
      <c r="G4162">
        <v>217</v>
      </c>
      <c r="H4162">
        <v>1</v>
      </c>
      <c r="I4162">
        <v>3</v>
      </c>
      <c r="J4162">
        <v>0.109052747711589</v>
      </c>
      <c r="L4162">
        <v>-8.0561374087138593E-3</v>
      </c>
      <c r="M4162">
        <v>1</v>
      </c>
      <c r="O4162">
        <v>-8.0561374087138593E-3</v>
      </c>
    </row>
    <row r="4163" spans="1:15" hidden="1" x14ac:dyDescent="0.3">
      <c r="A4163" t="s">
        <v>122</v>
      </c>
      <c r="B4163" t="s">
        <v>212</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122</v>
      </c>
      <c r="B4164" t="s">
        <v>250</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122</v>
      </c>
      <c r="B4165" t="s">
        <v>246</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122</v>
      </c>
      <c r="B4166" t="s">
        <v>347</v>
      </c>
      <c r="C4166">
        <v>0</v>
      </c>
      <c r="D4166">
        <v>1</v>
      </c>
      <c r="E4166">
        <v>1</v>
      </c>
      <c r="F4166">
        <v>215</v>
      </c>
      <c r="G4166">
        <v>217</v>
      </c>
      <c r="H4166">
        <v>1</v>
      </c>
      <c r="I4166">
        <v>1</v>
      </c>
      <c r="J4166">
        <v>6.4493014968382195E-2</v>
      </c>
      <c r="L4166">
        <v>-4.6296296296296198E-3</v>
      </c>
      <c r="M4166">
        <v>1</v>
      </c>
      <c r="O4166">
        <v>-4.6296296296296198E-3</v>
      </c>
    </row>
    <row r="4167" spans="1:15" hidden="1" x14ac:dyDescent="0.3">
      <c r="A4167" t="s">
        <v>122</v>
      </c>
      <c r="B4167" t="s">
        <v>153</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122</v>
      </c>
      <c r="B4168" t="s">
        <v>283</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122</v>
      </c>
      <c r="B4169" t="s">
        <v>5</v>
      </c>
      <c r="C4169">
        <v>0</v>
      </c>
      <c r="D4169">
        <v>3</v>
      </c>
      <c r="E4169">
        <v>1</v>
      </c>
      <c r="F4169">
        <v>213</v>
      </c>
      <c r="G4169">
        <v>217</v>
      </c>
      <c r="H4169">
        <v>1</v>
      </c>
      <c r="I4169">
        <v>3</v>
      </c>
      <c r="J4169">
        <v>0.109052747711589</v>
      </c>
      <c r="L4169">
        <v>-8.0561374087138593E-3</v>
      </c>
      <c r="M4169">
        <v>1</v>
      </c>
      <c r="O4169">
        <v>-8.0561374087138593E-3</v>
      </c>
    </row>
    <row r="4170" spans="1:15" hidden="1" x14ac:dyDescent="0.3">
      <c r="A4170" t="s">
        <v>122</v>
      </c>
      <c r="B4170" t="s">
        <v>219</v>
      </c>
      <c r="C4170">
        <v>0</v>
      </c>
      <c r="D4170">
        <v>4</v>
      </c>
      <c r="E4170">
        <v>1</v>
      </c>
      <c r="F4170">
        <v>212</v>
      </c>
      <c r="G4170">
        <v>217</v>
      </c>
      <c r="H4170">
        <v>1</v>
      </c>
      <c r="I4170">
        <v>4</v>
      </c>
      <c r="J4170">
        <v>0.124826680957052</v>
      </c>
      <c r="L4170">
        <v>-9.3242373144076501E-3</v>
      </c>
      <c r="M4170">
        <v>1</v>
      </c>
      <c r="O4170">
        <v>-9.3242373144076501E-3</v>
      </c>
    </row>
    <row r="4171" spans="1:15" hidden="1" x14ac:dyDescent="0.3">
      <c r="A4171" t="s">
        <v>122</v>
      </c>
      <c r="B4171" t="s">
        <v>220</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122</v>
      </c>
      <c r="B4172" t="s">
        <v>201</v>
      </c>
      <c r="C4172">
        <v>0</v>
      </c>
      <c r="D4172">
        <v>4</v>
      </c>
      <c r="E4172">
        <v>1</v>
      </c>
      <c r="F4172">
        <v>212</v>
      </c>
      <c r="G4172">
        <v>217</v>
      </c>
      <c r="H4172">
        <v>1</v>
      </c>
      <c r="I4172">
        <v>4</v>
      </c>
      <c r="J4172">
        <v>0.124826680957052</v>
      </c>
      <c r="L4172">
        <v>-9.3242373144076501E-3</v>
      </c>
      <c r="M4172">
        <v>1</v>
      </c>
      <c r="O4172">
        <v>-9.3242373144076501E-3</v>
      </c>
    </row>
    <row r="4173" spans="1:15" hidden="1" x14ac:dyDescent="0.3">
      <c r="A4173" t="s">
        <v>122</v>
      </c>
      <c r="B4173" t="s">
        <v>279</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122</v>
      </c>
      <c r="B4174" t="s">
        <v>262</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122</v>
      </c>
      <c r="B4175" t="s">
        <v>321</v>
      </c>
      <c r="C4175">
        <v>0</v>
      </c>
      <c r="D4175">
        <v>1</v>
      </c>
      <c r="E4175">
        <v>1</v>
      </c>
      <c r="F4175">
        <v>215</v>
      </c>
      <c r="G4175">
        <v>217</v>
      </c>
      <c r="H4175">
        <v>1</v>
      </c>
      <c r="I4175">
        <v>1</v>
      </c>
      <c r="J4175">
        <v>6.4493014968382195E-2</v>
      </c>
      <c r="L4175">
        <v>-4.6296296296296198E-3</v>
      </c>
      <c r="M4175">
        <v>1</v>
      </c>
      <c r="O4175">
        <v>-4.6296296296296198E-3</v>
      </c>
    </row>
    <row r="4176" spans="1:15" hidden="1" x14ac:dyDescent="0.3">
      <c r="A4176" t="s">
        <v>122</v>
      </c>
      <c r="B4176" t="s">
        <v>215</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122</v>
      </c>
      <c r="B4177" t="s">
        <v>253</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122</v>
      </c>
      <c r="B4178" t="s">
        <v>341</v>
      </c>
      <c r="C4178">
        <v>0</v>
      </c>
      <c r="D4178">
        <v>1</v>
      </c>
      <c r="E4178">
        <v>1</v>
      </c>
      <c r="F4178">
        <v>215</v>
      </c>
      <c r="G4178">
        <v>217</v>
      </c>
      <c r="H4178">
        <v>1</v>
      </c>
      <c r="I4178">
        <v>1</v>
      </c>
      <c r="J4178">
        <v>6.4493014968382195E-2</v>
      </c>
      <c r="L4178">
        <v>-4.6296296296296198E-3</v>
      </c>
      <c r="M4178">
        <v>1</v>
      </c>
      <c r="O4178">
        <v>-4.6296296296296198E-3</v>
      </c>
    </row>
    <row r="4179" spans="1:15" hidden="1" x14ac:dyDescent="0.3">
      <c r="A4179" t="s">
        <v>122</v>
      </c>
      <c r="B4179" t="s">
        <v>214</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122</v>
      </c>
      <c r="B4180" t="s">
        <v>168</v>
      </c>
      <c r="C4180">
        <v>0</v>
      </c>
      <c r="D4180">
        <v>5</v>
      </c>
      <c r="E4180">
        <v>1</v>
      </c>
      <c r="F4180">
        <v>211</v>
      </c>
      <c r="G4180">
        <v>217</v>
      </c>
      <c r="H4180">
        <v>1</v>
      </c>
      <c r="I4180">
        <v>5</v>
      </c>
      <c r="J4180">
        <v>0.138492225345964</v>
      </c>
      <c r="L4180">
        <v>-1.0449372136989901E-2</v>
      </c>
      <c r="M4180">
        <v>1</v>
      </c>
      <c r="O4180">
        <v>-1.0449372136989901E-2</v>
      </c>
    </row>
    <row r="4181" spans="1:15" hidden="1" x14ac:dyDescent="0.3">
      <c r="A4181" t="s">
        <v>122</v>
      </c>
      <c r="B4181" t="s">
        <v>352</v>
      </c>
      <c r="C4181">
        <v>0</v>
      </c>
      <c r="D4181">
        <v>1</v>
      </c>
      <c r="E4181">
        <v>1</v>
      </c>
      <c r="F4181">
        <v>215</v>
      </c>
      <c r="G4181">
        <v>217</v>
      </c>
      <c r="H4181">
        <v>1</v>
      </c>
      <c r="I4181">
        <v>1</v>
      </c>
      <c r="J4181">
        <v>6.4493014968382195E-2</v>
      </c>
      <c r="L4181">
        <v>-4.6296296296296198E-3</v>
      </c>
      <c r="M4181">
        <v>1</v>
      </c>
      <c r="O4181">
        <v>-4.6296296296296198E-3</v>
      </c>
    </row>
    <row r="4182" spans="1:15" x14ac:dyDescent="0.3">
      <c r="A4182" t="s">
        <v>122</v>
      </c>
      <c r="B4182" t="s">
        <v>169</v>
      </c>
      <c r="C4182">
        <v>0</v>
      </c>
      <c r="D4182">
        <v>2</v>
      </c>
      <c r="E4182">
        <v>1</v>
      </c>
      <c r="F4182">
        <v>214</v>
      </c>
      <c r="G4182">
        <v>217</v>
      </c>
      <c r="H4182">
        <v>1</v>
      </c>
      <c r="I4182">
        <v>2</v>
      </c>
      <c r="J4182">
        <v>8.9972904061745101E-2</v>
      </c>
      <c r="L4182">
        <v>-6.5624935913179798E-3</v>
      </c>
      <c r="M4182">
        <v>1</v>
      </c>
      <c r="O4182">
        <v>-6.5624935913179798E-3</v>
      </c>
    </row>
    <row r="4183" spans="1:15" x14ac:dyDescent="0.3">
      <c r="A4183" t="s">
        <v>122</v>
      </c>
      <c r="B4183" t="s">
        <v>175</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122</v>
      </c>
      <c r="B4184" t="s">
        <v>340</v>
      </c>
      <c r="C4184">
        <v>0</v>
      </c>
      <c r="D4184">
        <v>1</v>
      </c>
      <c r="E4184">
        <v>1</v>
      </c>
      <c r="F4184">
        <v>215</v>
      </c>
      <c r="G4184">
        <v>217</v>
      </c>
      <c r="H4184">
        <v>1</v>
      </c>
      <c r="I4184">
        <v>1</v>
      </c>
      <c r="J4184">
        <v>6.4493014968382195E-2</v>
      </c>
      <c r="L4184">
        <v>-4.6296296296296198E-3</v>
      </c>
      <c r="M4184">
        <v>1</v>
      </c>
      <c r="O4184">
        <v>-4.6296296296296198E-3</v>
      </c>
    </row>
    <row r="4185" spans="1:15" hidden="1" x14ac:dyDescent="0.3">
      <c r="A4185" t="s">
        <v>122</v>
      </c>
      <c r="B4185" t="s">
        <v>190</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122</v>
      </c>
      <c r="B4186" t="s">
        <v>346</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122</v>
      </c>
      <c r="B4187" t="s">
        <v>309</v>
      </c>
      <c r="C4187">
        <v>1</v>
      </c>
      <c r="D4187">
        <v>0</v>
      </c>
      <c r="E4187">
        <v>0</v>
      </c>
      <c r="F4187">
        <v>216</v>
      </c>
      <c r="G4187">
        <v>217</v>
      </c>
      <c r="H4187">
        <v>1</v>
      </c>
      <c r="I4187">
        <v>1</v>
      </c>
      <c r="J4187">
        <v>6.4493014968382195E-2</v>
      </c>
      <c r="L4187">
        <v>1</v>
      </c>
      <c r="M4187">
        <v>4.60829493087557E-3</v>
      </c>
      <c r="O4187">
        <v>1</v>
      </c>
    </row>
    <row r="4188" spans="1:15" hidden="1" x14ac:dyDescent="0.3">
      <c r="A4188" t="s">
        <v>122</v>
      </c>
      <c r="B4188" t="s">
        <v>148</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122</v>
      </c>
      <c r="B4189" t="s">
        <v>173</v>
      </c>
      <c r="C4189">
        <v>0</v>
      </c>
      <c r="D4189">
        <v>2</v>
      </c>
      <c r="E4189">
        <v>1</v>
      </c>
      <c r="F4189">
        <v>214</v>
      </c>
      <c r="G4189">
        <v>217</v>
      </c>
      <c r="H4189">
        <v>1</v>
      </c>
      <c r="I4189">
        <v>2</v>
      </c>
      <c r="J4189">
        <v>8.9972904061745101E-2</v>
      </c>
      <c r="L4189">
        <v>-6.5624935913179798E-3</v>
      </c>
      <c r="M4189">
        <v>1</v>
      </c>
      <c r="O4189">
        <v>-6.5624935913179798E-3</v>
      </c>
    </row>
    <row r="4190" spans="1:15" hidden="1" x14ac:dyDescent="0.3">
      <c r="A4190" t="s">
        <v>122</v>
      </c>
      <c r="B4190" t="s">
        <v>217</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122</v>
      </c>
      <c r="B4191" t="s">
        <v>348</v>
      </c>
      <c r="C4191">
        <v>0</v>
      </c>
      <c r="D4191">
        <v>1</v>
      </c>
      <c r="E4191">
        <v>1</v>
      </c>
      <c r="F4191">
        <v>215</v>
      </c>
      <c r="G4191">
        <v>217</v>
      </c>
      <c r="H4191">
        <v>1</v>
      </c>
      <c r="I4191">
        <v>1</v>
      </c>
      <c r="J4191">
        <v>6.4493014968382195E-2</v>
      </c>
      <c r="L4191">
        <v>-4.6296296296296198E-3</v>
      </c>
      <c r="M4191">
        <v>1</v>
      </c>
      <c r="O4191">
        <v>-4.6296296296296198E-3</v>
      </c>
    </row>
    <row r="4192" spans="1:15" hidden="1" x14ac:dyDescent="0.3">
      <c r="A4192" t="s">
        <v>122</v>
      </c>
      <c r="B4192" t="s">
        <v>222</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122</v>
      </c>
      <c r="B4193" t="s">
        <v>269</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122</v>
      </c>
      <c r="B4194" t="s">
        <v>349</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122</v>
      </c>
      <c r="B4195" t="s">
        <v>274</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122</v>
      </c>
      <c r="B4196" t="s">
        <v>316</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122</v>
      </c>
      <c r="B4197" t="s">
        <v>350</v>
      </c>
      <c r="C4197">
        <v>0</v>
      </c>
      <c r="D4197">
        <v>1</v>
      </c>
      <c r="E4197">
        <v>1</v>
      </c>
      <c r="F4197">
        <v>215</v>
      </c>
      <c r="G4197">
        <v>217</v>
      </c>
      <c r="H4197">
        <v>1</v>
      </c>
      <c r="I4197">
        <v>1</v>
      </c>
      <c r="J4197">
        <v>6.4493014968382195E-2</v>
      </c>
      <c r="L4197">
        <v>-4.6296296296296198E-3</v>
      </c>
      <c r="M4197">
        <v>1</v>
      </c>
      <c r="O4197">
        <v>-4.6296296296296198E-3</v>
      </c>
    </row>
    <row r="4198" spans="1:15" hidden="1" x14ac:dyDescent="0.3">
      <c r="A4198" t="s">
        <v>122</v>
      </c>
      <c r="B4198" t="s">
        <v>218</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122</v>
      </c>
      <c r="B4199" t="s">
        <v>261</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122</v>
      </c>
      <c r="B4200" t="s">
        <v>277</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122</v>
      </c>
      <c r="B4201" t="s">
        <v>251</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122</v>
      </c>
      <c r="B4202" t="s">
        <v>259</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122</v>
      </c>
      <c r="B4203" t="s">
        <v>329</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122</v>
      </c>
      <c r="B4204" t="s">
        <v>360</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122</v>
      </c>
      <c r="B4205" t="s">
        <v>358</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122</v>
      </c>
      <c r="B4206" t="s">
        <v>312</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122</v>
      </c>
      <c r="B4207" t="s">
        <v>361</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122</v>
      </c>
      <c r="B4208" t="s">
        <v>288</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122</v>
      </c>
      <c r="B4209" t="s">
        <v>306</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122</v>
      </c>
      <c r="B4210" t="s">
        <v>345</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122</v>
      </c>
      <c r="B4211" t="s">
        <v>338</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122</v>
      </c>
      <c r="B4212" t="s">
        <v>267</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122</v>
      </c>
      <c r="B4213" t="s">
        <v>194</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122</v>
      </c>
      <c r="B4214" t="s">
        <v>328</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122</v>
      </c>
      <c r="B4215" t="s">
        <v>293</v>
      </c>
      <c r="C4215">
        <v>0</v>
      </c>
      <c r="D4215">
        <v>2</v>
      </c>
      <c r="E4215">
        <v>1</v>
      </c>
      <c r="F4215">
        <v>214</v>
      </c>
      <c r="G4215">
        <v>217</v>
      </c>
      <c r="H4215">
        <v>1</v>
      </c>
      <c r="I4215">
        <v>2</v>
      </c>
      <c r="J4215">
        <v>8.9972904061745101E-2</v>
      </c>
      <c r="L4215">
        <v>-6.5624935913179798E-3</v>
      </c>
      <c r="M4215">
        <v>1</v>
      </c>
      <c r="O4215">
        <v>-6.5624935913179798E-3</v>
      </c>
    </row>
    <row r="4216" spans="1:15" hidden="1" x14ac:dyDescent="0.3">
      <c r="A4216" t="s">
        <v>122</v>
      </c>
      <c r="B4216" t="s">
        <v>216</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122</v>
      </c>
      <c r="B4217" t="s">
        <v>297</v>
      </c>
      <c r="C4217">
        <v>0</v>
      </c>
      <c r="D4217">
        <v>1</v>
      </c>
      <c r="E4217">
        <v>1</v>
      </c>
      <c r="F4217">
        <v>215</v>
      </c>
      <c r="G4217">
        <v>217</v>
      </c>
      <c r="H4217">
        <v>1</v>
      </c>
      <c r="I4217">
        <v>1</v>
      </c>
      <c r="J4217">
        <v>6.4493014968382195E-2</v>
      </c>
      <c r="L4217">
        <v>-4.6296296296296198E-3</v>
      </c>
      <c r="M4217">
        <v>1</v>
      </c>
      <c r="O4217">
        <v>-4.6296296296296198E-3</v>
      </c>
    </row>
    <row r="4218" spans="1:15" hidden="1" x14ac:dyDescent="0.3">
      <c r="A4218" t="s">
        <v>122</v>
      </c>
      <c r="B4218" t="s">
        <v>264</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122</v>
      </c>
      <c r="B4219" t="s">
        <v>359</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122</v>
      </c>
      <c r="B4220" t="s">
        <v>313</v>
      </c>
      <c r="C4220">
        <v>0</v>
      </c>
      <c r="D4220">
        <v>1</v>
      </c>
      <c r="E4220">
        <v>1</v>
      </c>
      <c r="F4220">
        <v>215</v>
      </c>
      <c r="G4220">
        <v>217</v>
      </c>
      <c r="H4220">
        <v>1</v>
      </c>
      <c r="I4220">
        <v>1</v>
      </c>
      <c r="J4220">
        <v>6.4493014968382195E-2</v>
      </c>
      <c r="L4220">
        <v>-4.6296296296296198E-3</v>
      </c>
      <c r="M4220">
        <v>1</v>
      </c>
      <c r="O4220">
        <v>-4.6296296296296198E-3</v>
      </c>
    </row>
    <row r="4221" spans="1:15" hidden="1" x14ac:dyDescent="0.3">
      <c r="A4221" t="s">
        <v>122</v>
      </c>
      <c r="B4221" t="s">
        <v>331</v>
      </c>
      <c r="C4221">
        <v>0</v>
      </c>
      <c r="D4221">
        <v>2</v>
      </c>
      <c r="E4221">
        <v>1</v>
      </c>
      <c r="F4221">
        <v>214</v>
      </c>
      <c r="G4221">
        <v>217</v>
      </c>
      <c r="H4221">
        <v>1</v>
      </c>
      <c r="I4221">
        <v>2</v>
      </c>
      <c r="J4221">
        <v>8.9972904061745101E-2</v>
      </c>
      <c r="L4221">
        <v>-6.5624935913179798E-3</v>
      </c>
      <c r="M4221">
        <v>1</v>
      </c>
      <c r="O4221">
        <v>-6.5624935913179798E-3</v>
      </c>
    </row>
    <row r="4222" spans="1:15" hidden="1" x14ac:dyDescent="0.3">
      <c r="A4222" t="s">
        <v>122</v>
      </c>
      <c r="B4222" t="s">
        <v>285</v>
      </c>
      <c r="C4222">
        <v>0</v>
      </c>
      <c r="D4222">
        <v>1</v>
      </c>
      <c r="E4222">
        <v>1</v>
      </c>
      <c r="F4222">
        <v>215</v>
      </c>
      <c r="G4222">
        <v>217</v>
      </c>
      <c r="H4222">
        <v>1</v>
      </c>
      <c r="I4222">
        <v>1</v>
      </c>
      <c r="J4222">
        <v>6.4493014968382195E-2</v>
      </c>
      <c r="L4222">
        <v>-4.6296296296296198E-3</v>
      </c>
      <c r="M4222">
        <v>1</v>
      </c>
      <c r="O4222">
        <v>-4.6296296296296198E-3</v>
      </c>
    </row>
    <row r="4223" spans="1:15" x14ac:dyDescent="0.3">
      <c r="A4223" t="s">
        <v>122</v>
      </c>
      <c r="B4223" t="s">
        <v>152</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122</v>
      </c>
      <c r="B4224" t="s">
        <v>311</v>
      </c>
      <c r="C4224">
        <v>0</v>
      </c>
      <c r="D4224">
        <v>1</v>
      </c>
      <c r="E4224">
        <v>1</v>
      </c>
      <c r="F4224">
        <v>215</v>
      </c>
      <c r="G4224">
        <v>217</v>
      </c>
      <c r="H4224">
        <v>1</v>
      </c>
      <c r="I4224">
        <v>1</v>
      </c>
      <c r="J4224">
        <v>6.4493014968382195E-2</v>
      </c>
      <c r="L4224">
        <v>-4.6296296296296198E-3</v>
      </c>
      <c r="M4224">
        <v>1</v>
      </c>
      <c r="O4224">
        <v>-4.6296296296296198E-3</v>
      </c>
    </row>
    <row r="4225" spans="1:15" hidden="1" x14ac:dyDescent="0.3">
      <c r="A4225" t="s">
        <v>122</v>
      </c>
      <c r="B4225" t="s">
        <v>213</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122</v>
      </c>
      <c r="B4226" t="s">
        <v>330</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122</v>
      </c>
      <c r="B4227" t="s">
        <v>252</v>
      </c>
      <c r="C4227">
        <v>0</v>
      </c>
      <c r="D4227">
        <v>3</v>
      </c>
      <c r="E4227">
        <v>1</v>
      </c>
      <c r="F4227">
        <v>213</v>
      </c>
      <c r="G4227">
        <v>217</v>
      </c>
      <c r="H4227">
        <v>1</v>
      </c>
      <c r="I4227">
        <v>3</v>
      </c>
      <c r="J4227">
        <v>0.109052747711589</v>
      </c>
      <c r="L4227">
        <v>-8.0561374087138593E-3</v>
      </c>
      <c r="M4227">
        <v>1</v>
      </c>
      <c r="O4227">
        <v>-8.0561374087138593E-3</v>
      </c>
    </row>
    <row r="4228" spans="1:15" x14ac:dyDescent="0.3">
      <c r="A4228" t="s">
        <v>122</v>
      </c>
      <c r="B4228" t="s">
        <v>170</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122</v>
      </c>
      <c r="B4229" t="s">
        <v>281</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122</v>
      </c>
      <c r="B4230" t="s">
        <v>324</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122</v>
      </c>
      <c r="B4231" t="s">
        <v>278</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122</v>
      </c>
      <c r="B4232" t="s">
        <v>292</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122</v>
      </c>
      <c r="B4233" t="s">
        <v>172</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122</v>
      </c>
      <c r="B4234" t="s">
        <v>323</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122</v>
      </c>
      <c r="B4235" t="s">
        <v>326</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122</v>
      </c>
      <c r="B4236" t="s">
        <v>325</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122</v>
      </c>
      <c r="B4237" t="s">
        <v>256</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122</v>
      </c>
      <c r="B4238" t="s">
        <v>243</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122</v>
      </c>
      <c r="B4239" t="s">
        <v>327</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122</v>
      </c>
      <c r="B4240" t="s">
        <v>174</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122</v>
      </c>
      <c r="B4241" t="s">
        <v>260</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122</v>
      </c>
      <c r="B4242" t="s">
        <v>280</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122</v>
      </c>
      <c r="B4243" t="s">
        <v>318</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122</v>
      </c>
      <c r="B4244" t="s">
        <v>244</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122</v>
      </c>
      <c r="B4245" t="s">
        <v>336</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122</v>
      </c>
      <c r="B4246" t="s">
        <v>304</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122</v>
      </c>
      <c r="B4247" t="s">
        <v>270</v>
      </c>
      <c r="C4247">
        <v>0</v>
      </c>
      <c r="D4247">
        <v>3</v>
      </c>
      <c r="E4247">
        <v>1</v>
      </c>
      <c r="F4247">
        <v>213</v>
      </c>
      <c r="G4247">
        <v>217</v>
      </c>
      <c r="H4247">
        <v>1</v>
      </c>
      <c r="I4247">
        <v>3</v>
      </c>
      <c r="J4247">
        <v>0.109052747711589</v>
      </c>
      <c r="L4247">
        <v>-8.0561374087138593E-3</v>
      </c>
      <c r="M4247">
        <v>1</v>
      </c>
      <c r="O4247">
        <v>-8.0561374087138593E-3</v>
      </c>
    </row>
    <row r="4248" spans="1:15" x14ac:dyDescent="0.3">
      <c r="A4248" t="s">
        <v>122</v>
      </c>
      <c r="B4248" t="s">
        <v>257</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122</v>
      </c>
      <c r="B4249" t="s">
        <v>307</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122</v>
      </c>
      <c r="B4250" t="s">
        <v>286</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122</v>
      </c>
      <c r="B4251" t="s">
        <v>198</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122</v>
      </c>
      <c r="B4252" t="s">
        <v>289</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122</v>
      </c>
      <c r="B4253" t="s">
        <v>282</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122</v>
      </c>
      <c r="B4254" t="s">
        <v>291</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287</v>
      </c>
      <c r="B4255" t="s">
        <v>3</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287</v>
      </c>
      <c r="B4256" t="s">
        <v>314</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287</v>
      </c>
      <c r="B4257" t="s">
        <v>357</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287</v>
      </c>
      <c r="B4258" t="s">
        <v>356</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287</v>
      </c>
      <c r="B4259" t="s">
        <v>273</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287</v>
      </c>
      <c r="B4260" t="s">
        <v>242</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287</v>
      </c>
      <c r="B4261" t="s">
        <v>332</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287</v>
      </c>
      <c r="B4262" t="s">
        <v>355</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287</v>
      </c>
      <c r="B4263" t="s">
        <v>335</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287</v>
      </c>
      <c r="B4264" t="s">
        <v>266</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287</v>
      </c>
      <c r="B4265" t="s">
        <v>272</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287</v>
      </c>
      <c r="B4266" t="s">
        <v>310</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287</v>
      </c>
      <c r="B4267" t="s">
        <v>317</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287</v>
      </c>
      <c r="B4268" t="s">
        <v>9</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287</v>
      </c>
      <c r="B4269" t="s">
        <v>362</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287</v>
      </c>
      <c r="B4270" t="s">
        <v>354</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287</v>
      </c>
      <c r="B4271" t="s">
        <v>353</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287</v>
      </c>
      <c r="B4272" t="s">
        <v>363</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287</v>
      </c>
      <c r="B4273" t="s">
        <v>305</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287</v>
      </c>
      <c r="B4274" t="s">
        <v>339</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287</v>
      </c>
      <c r="B4275" t="s">
        <v>248</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287</v>
      </c>
      <c r="B4276" t="s">
        <v>342</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287</v>
      </c>
      <c r="B4277" t="s">
        <v>315</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287</v>
      </c>
      <c r="B4278" t="s">
        <v>241</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287</v>
      </c>
      <c r="B4279" t="s">
        <v>334</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287</v>
      </c>
      <c r="B4280" t="s">
        <v>300</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287</v>
      </c>
      <c r="B4281" t="s">
        <v>271</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287</v>
      </c>
      <c r="B4282" t="s">
        <v>255</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287</v>
      </c>
      <c r="B4283" t="s">
        <v>296</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287</v>
      </c>
      <c r="B4284" t="s">
        <v>249</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287</v>
      </c>
      <c r="B4285" t="s">
        <v>308</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287</v>
      </c>
      <c r="B4286" t="s">
        <v>319</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287</v>
      </c>
      <c r="B4287" t="s">
        <v>245</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287</v>
      </c>
      <c r="B4288" t="s">
        <v>240</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287</v>
      </c>
      <c r="B4289" t="s">
        <v>343</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287</v>
      </c>
      <c r="B4290" t="s">
        <v>258</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287</v>
      </c>
      <c r="B4291" t="s">
        <v>344</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287</v>
      </c>
      <c r="B4292" t="s">
        <v>276</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287</v>
      </c>
      <c r="B4293" t="s">
        <v>333</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287</v>
      </c>
      <c r="B4294" t="s">
        <v>263</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287</v>
      </c>
      <c r="B4295" t="s">
        <v>254</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287</v>
      </c>
      <c r="B4296" t="s">
        <v>320</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287</v>
      </c>
      <c r="B4297" t="s">
        <v>275</v>
      </c>
      <c r="C4297">
        <v>0</v>
      </c>
      <c r="D4297">
        <v>11</v>
      </c>
      <c r="E4297">
        <v>2</v>
      </c>
      <c r="F4297">
        <v>204</v>
      </c>
      <c r="G4297">
        <v>217</v>
      </c>
      <c r="H4297">
        <v>2</v>
      </c>
      <c r="I4297">
        <v>11</v>
      </c>
      <c r="J4297">
        <v>0.26852657159596099</v>
      </c>
      <c r="L4297">
        <v>-2.22873534381808E-2</v>
      </c>
      <c r="M4297">
        <v>1</v>
      </c>
      <c r="O4297">
        <v>-2.22873534381808E-2</v>
      </c>
    </row>
    <row r="4298" spans="1:15" hidden="1" x14ac:dyDescent="0.3">
      <c r="A4298" t="s">
        <v>287</v>
      </c>
      <c r="B4298" t="s">
        <v>221</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287</v>
      </c>
      <c r="B4299" t="s">
        <v>322</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287</v>
      </c>
      <c r="B4300" t="s">
        <v>303</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287</v>
      </c>
      <c r="B4301" t="s">
        <v>302</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287</v>
      </c>
      <c r="B4302" t="s">
        <v>147</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287</v>
      </c>
      <c r="B4303" t="s">
        <v>284</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287</v>
      </c>
      <c r="B4304" t="s">
        <v>299</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287</v>
      </c>
      <c r="B4305" t="s">
        <v>301</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287</v>
      </c>
      <c r="B4306" t="s">
        <v>268</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287</v>
      </c>
      <c r="B4307" t="s">
        <v>290</v>
      </c>
      <c r="C4307">
        <v>0</v>
      </c>
      <c r="D4307">
        <v>1</v>
      </c>
      <c r="E4307">
        <v>2</v>
      </c>
      <c r="F4307">
        <v>214</v>
      </c>
      <c r="G4307">
        <v>217</v>
      </c>
      <c r="H4307">
        <v>2</v>
      </c>
      <c r="I4307">
        <v>1</v>
      </c>
      <c r="J4307">
        <v>8.9972904061745101E-2</v>
      </c>
      <c r="L4307">
        <v>-6.5624935913179798E-3</v>
      </c>
      <c r="M4307">
        <v>1</v>
      </c>
      <c r="O4307">
        <v>-6.5624935913179798E-3</v>
      </c>
    </row>
    <row r="4308" spans="1:15" hidden="1" x14ac:dyDescent="0.3">
      <c r="A4308" t="s">
        <v>287</v>
      </c>
      <c r="B4308" t="s">
        <v>351</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287</v>
      </c>
      <c r="B4309" t="s">
        <v>337</v>
      </c>
      <c r="C4309">
        <v>0</v>
      </c>
      <c r="D4309">
        <v>3</v>
      </c>
      <c r="E4309">
        <v>2</v>
      </c>
      <c r="F4309">
        <v>212</v>
      </c>
      <c r="G4309">
        <v>217</v>
      </c>
      <c r="H4309">
        <v>2</v>
      </c>
      <c r="I4309">
        <v>3</v>
      </c>
      <c r="J4309">
        <v>0.15066306992548201</v>
      </c>
      <c r="L4309">
        <v>-1.14195636249397E-2</v>
      </c>
      <c r="M4309">
        <v>1</v>
      </c>
      <c r="O4309">
        <v>-1.14195636249397E-2</v>
      </c>
    </row>
    <row r="4310" spans="1:15" hidden="1" x14ac:dyDescent="0.3">
      <c r="A4310" t="s">
        <v>287</v>
      </c>
      <c r="B4310" t="s">
        <v>212</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287</v>
      </c>
      <c r="B4311" t="s">
        <v>250</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287</v>
      </c>
      <c r="B4312" t="s">
        <v>246</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287</v>
      </c>
      <c r="B4313" t="s">
        <v>347</v>
      </c>
      <c r="C4313">
        <v>0</v>
      </c>
      <c r="D4313">
        <v>1</v>
      </c>
      <c r="E4313">
        <v>2</v>
      </c>
      <c r="F4313">
        <v>214</v>
      </c>
      <c r="G4313">
        <v>217</v>
      </c>
      <c r="H4313">
        <v>2</v>
      </c>
      <c r="I4313">
        <v>1</v>
      </c>
      <c r="J4313">
        <v>8.9972904061745101E-2</v>
      </c>
      <c r="L4313">
        <v>-6.5624935913179798E-3</v>
      </c>
      <c r="M4313">
        <v>1</v>
      </c>
      <c r="O4313">
        <v>-6.5624935913179798E-3</v>
      </c>
    </row>
    <row r="4314" spans="1:15" hidden="1" x14ac:dyDescent="0.3">
      <c r="A4314" t="s">
        <v>287</v>
      </c>
      <c r="B4314" t="s">
        <v>153</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287</v>
      </c>
      <c r="B4315" t="s">
        <v>283</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287</v>
      </c>
      <c r="B4316" t="s">
        <v>5</v>
      </c>
      <c r="C4316">
        <v>0</v>
      </c>
      <c r="D4316">
        <v>3</v>
      </c>
      <c r="E4316">
        <v>2</v>
      </c>
      <c r="F4316">
        <v>212</v>
      </c>
      <c r="G4316">
        <v>217</v>
      </c>
      <c r="H4316">
        <v>2</v>
      </c>
      <c r="I4316">
        <v>3</v>
      </c>
      <c r="J4316">
        <v>0.15066306992548201</v>
      </c>
      <c r="L4316">
        <v>-1.14195636249397E-2</v>
      </c>
      <c r="M4316">
        <v>1</v>
      </c>
      <c r="O4316">
        <v>-1.14195636249397E-2</v>
      </c>
    </row>
    <row r="4317" spans="1:15" hidden="1" x14ac:dyDescent="0.3">
      <c r="A4317" t="s">
        <v>287</v>
      </c>
      <c r="B4317" t="s">
        <v>219</v>
      </c>
      <c r="C4317">
        <v>0</v>
      </c>
      <c r="D4317">
        <v>4</v>
      </c>
      <c r="E4317">
        <v>2</v>
      </c>
      <c r="F4317">
        <v>211</v>
      </c>
      <c r="G4317">
        <v>217</v>
      </c>
      <c r="H4317">
        <v>2</v>
      </c>
      <c r="I4317">
        <v>4</v>
      </c>
      <c r="J4317">
        <v>0.17185068465818601</v>
      </c>
      <c r="L4317">
        <v>-1.3217093485861199E-2</v>
      </c>
      <c r="M4317">
        <v>1</v>
      </c>
      <c r="O4317">
        <v>-1.3217093485861199E-2</v>
      </c>
    </row>
    <row r="4318" spans="1:15" hidden="1" x14ac:dyDescent="0.3">
      <c r="A4318" t="s">
        <v>287</v>
      </c>
      <c r="B4318" t="s">
        <v>220</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287</v>
      </c>
      <c r="B4319" t="s">
        <v>201</v>
      </c>
      <c r="C4319">
        <v>0</v>
      </c>
      <c r="D4319">
        <v>4</v>
      </c>
      <c r="E4319">
        <v>2</v>
      </c>
      <c r="F4319">
        <v>211</v>
      </c>
      <c r="G4319">
        <v>217</v>
      </c>
      <c r="H4319">
        <v>2</v>
      </c>
      <c r="I4319">
        <v>4</v>
      </c>
      <c r="J4319">
        <v>0.17185068465818601</v>
      </c>
      <c r="L4319">
        <v>-1.3217093485861199E-2</v>
      </c>
      <c r="M4319">
        <v>1</v>
      </c>
      <c r="O4319">
        <v>-1.3217093485861199E-2</v>
      </c>
    </row>
    <row r="4320" spans="1:15" hidden="1" x14ac:dyDescent="0.3">
      <c r="A4320" t="s">
        <v>287</v>
      </c>
      <c r="B4320" t="s">
        <v>279</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287</v>
      </c>
      <c r="B4321" t="s">
        <v>262</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287</v>
      </c>
      <c r="B4322" t="s">
        <v>321</v>
      </c>
      <c r="C4322">
        <v>0</v>
      </c>
      <c r="D4322">
        <v>1</v>
      </c>
      <c r="E4322">
        <v>2</v>
      </c>
      <c r="F4322">
        <v>214</v>
      </c>
      <c r="G4322">
        <v>217</v>
      </c>
      <c r="H4322">
        <v>2</v>
      </c>
      <c r="I4322">
        <v>1</v>
      </c>
      <c r="J4322">
        <v>8.9972904061745101E-2</v>
      </c>
      <c r="L4322">
        <v>-6.5624935913179798E-3</v>
      </c>
      <c r="M4322">
        <v>1</v>
      </c>
      <c r="O4322">
        <v>-6.5624935913179798E-3</v>
      </c>
    </row>
    <row r="4323" spans="1:15" hidden="1" x14ac:dyDescent="0.3">
      <c r="A4323" t="s">
        <v>287</v>
      </c>
      <c r="B4323" t="s">
        <v>215</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287</v>
      </c>
      <c r="B4324" t="s">
        <v>253</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287</v>
      </c>
      <c r="B4325" t="s">
        <v>341</v>
      </c>
      <c r="C4325">
        <v>0</v>
      </c>
      <c r="D4325">
        <v>1</v>
      </c>
      <c r="E4325">
        <v>2</v>
      </c>
      <c r="F4325">
        <v>214</v>
      </c>
      <c r="G4325">
        <v>217</v>
      </c>
      <c r="H4325">
        <v>2</v>
      </c>
      <c r="I4325">
        <v>1</v>
      </c>
      <c r="J4325">
        <v>8.9972904061745101E-2</v>
      </c>
      <c r="L4325">
        <v>-6.5624935913179798E-3</v>
      </c>
      <c r="M4325">
        <v>1</v>
      </c>
      <c r="O4325">
        <v>-6.5624935913179798E-3</v>
      </c>
    </row>
    <row r="4326" spans="1:15" hidden="1" x14ac:dyDescent="0.3">
      <c r="A4326" t="s">
        <v>287</v>
      </c>
      <c r="B4326" t="s">
        <v>214</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287</v>
      </c>
      <c r="B4327" t="s">
        <v>168</v>
      </c>
      <c r="C4327">
        <v>0</v>
      </c>
      <c r="D4327">
        <v>5</v>
      </c>
      <c r="E4327">
        <v>2</v>
      </c>
      <c r="F4327">
        <v>210</v>
      </c>
      <c r="G4327">
        <v>217</v>
      </c>
      <c r="H4327">
        <v>2</v>
      </c>
      <c r="I4327">
        <v>5</v>
      </c>
      <c r="J4327">
        <v>0.190078954435137</v>
      </c>
      <c r="L4327">
        <v>-1.48119705393753E-2</v>
      </c>
      <c r="M4327">
        <v>1</v>
      </c>
      <c r="O4327">
        <v>-1.48119705393753E-2</v>
      </c>
    </row>
    <row r="4328" spans="1:15" hidden="1" x14ac:dyDescent="0.3">
      <c r="A4328" t="s">
        <v>287</v>
      </c>
      <c r="B4328" t="s">
        <v>352</v>
      </c>
      <c r="C4328">
        <v>0</v>
      </c>
      <c r="D4328">
        <v>1</v>
      </c>
      <c r="E4328">
        <v>2</v>
      </c>
      <c r="F4328">
        <v>214</v>
      </c>
      <c r="G4328">
        <v>217</v>
      </c>
      <c r="H4328">
        <v>2</v>
      </c>
      <c r="I4328">
        <v>1</v>
      </c>
      <c r="J4328">
        <v>8.9972904061745101E-2</v>
      </c>
      <c r="L4328">
        <v>-6.5624935913179798E-3</v>
      </c>
      <c r="M4328">
        <v>1</v>
      </c>
      <c r="O4328">
        <v>-6.5624935913179798E-3</v>
      </c>
    </row>
    <row r="4329" spans="1:15" x14ac:dyDescent="0.3">
      <c r="A4329" t="s">
        <v>287</v>
      </c>
      <c r="B4329" t="s">
        <v>169</v>
      </c>
      <c r="C4329">
        <v>0</v>
      </c>
      <c r="D4329">
        <v>2</v>
      </c>
      <c r="E4329">
        <v>2</v>
      </c>
      <c r="F4329">
        <v>213</v>
      </c>
      <c r="G4329">
        <v>217</v>
      </c>
      <c r="H4329">
        <v>2</v>
      </c>
      <c r="I4329">
        <v>2</v>
      </c>
      <c r="J4329">
        <v>0.124826680957052</v>
      </c>
      <c r="L4329">
        <v>-9.30232558139534E-3</v>
      </c>
      <c r="M4329">
        <v>1</v>
      </c>
      <c r="O4329">
        <v>-9.30232558139534E-3</v>
      </c>
    </row>
    <row r="4330" spans="1:15" x14ac:dyDescent="0.3">
      <c r="A4330" t="s">
        <v>287</v>
      </c>
      <c r="B4330" t="s">
        <v>175</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287</v>
      </c>
      <c r="B4331" t="s">
        <v>340</v>
      </c>
      <c r="C4331">
        <v>0</v>
      </c>
      <c r="D4331">
        <v>1</v>
      </c>
      <c r="E4331">
        <v>2</v>
      </c>
      <c r="F4331">
        <v>214</v>
      </c>
      <c r="G4331">
        <v>217</v>
      </c>
      <c r="H4331">
        <v>2</v>
      </c>
      <c r="I4331">
        <v>1</v>
      </c>
      <c r="J4331">
        <v>8.9972904061745101E-2</v>
      </c>
      <c r="L4331">
        <v>-6.5624935913179798E-3</v>
      </c>
      <c r="M4331">
        <v>1</v>
      </c>
      <c r="O4331">
        <v>-6.5624935913179798E-3</v>
      </c>
    </row>
    <row r="4332" spans="1:15" hidden="1" x14ac:dyDescent="0.3">
      <c r="A4332" t="s">
        <v>287</v>
      </c>
      <c r="B4332" t="s">
        <v>190</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287</v>
      </c>
      <c r="B4333" t="s">
        <v>346</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287</v>
      </c>
      <c r="B4334" t="s">
        <v>309</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287</v>
      </c>
      <c r="B4335" t="s">
        <v>148</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287</v>
      </c>
      <c r="B4336" t="s">
        <v>173</v>
      </c>
      <c r="C4336">
        <v>0</v>
      </c>
      <c r="D4336">
        <v>2</v>
      </c>
      <c r="E4336">
        <v>2</v>
      </c>
      <c r="F4336">
        <v>213</v>
      </c>
      <c r="G4336">
        <v>217</v>
      </c>
      <c r="H4336">
        <v>2</v>
      </c>
      <c r="I4336">
        <v>2</v>
      </c>
      <c r="J4336">
        <v>0.124826680957052</v>
      </c>
      <c r="L4336">
        <v>-9.30232558139534E-3</v>
      </c>
      <c r="M4336">
        <v>1</v>
      </c>
      <c r="O4336">
        <v>-9.30232558139534E-3</v>
      </c>
    </row>
    <row r="4337" spans="1:15" hidden="1" x14ac:dyDescent="0.3">
      <c r="A4337" t="s">
        <v>287</v>
      </c>
      <c r="B4337" t="s">
        <v>217</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287</v>
      </c>
      <c r="B4338" t="s">
        <v>348</v>
      </c>
      <c r="C4338">
        <v>0</v>
      </c>
      <c r="D4338">
        <v>1</v>
      </c>
      <c r="E4338">
        <v>2</v>
      </c>
      <c r="F4338">
        <v>214</v>
      </c>
      <c r="G4338">
        <v>217</v>
      </c>
      <c r="H4338">
        <v>2</v>
      </c>
      <c r="I4338">
        <v>1</v>
      </c>
      <c r="J4338">
        <v>8.9972904061745101E-2</v>
      </c>
      <c r="L4338">
        <v>-6.5624935913179798E-3</v>
      </c>
      <c r="M4338">
        <v>1</v>
      </c>
      <c r="O4338">
        <v>-6.5624935913179798E-3</v>
      </c>
    </row>
    <row r="4339" spans="1:15" hidden="1" x14ac:dyDescent="0.3">
      <c r="A4339" t="s">
        <v>287</v>
      </c>
      <c r="B4339" t="s">
        <v>222</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287</v>
      </c>
      <c r="B4340" t="s">
        <v>269</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287</v>
      </c>
      <c r="B4341" t="s">
        <v>349</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287</v>
      </c>
      <c r="B4342" t="s">
        <v>274</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287</v>
      </c>
      <c r="B4343" t="s">
        <v>316</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287</v>
      </c>
      <c r="B4344" t="s">
        <v>350</v>
      </c>
      <c r="C4344">
        <v>0</v>
      </c>
      <c r="D4344">
        <v>1</v>
      </c>
      <c r="E4344">
        <v>2</v>
      </c>
      <c r="F4344">
        <v>214</v>
      </c>
      <c r="G4344">
        <v>217</v>
      </c>
      <c r="H4344">
        <v>2</v>
      </c>
      <c r="I4344">
        <v>1</v>
      </c>
      <c r="J4344">
        <v>8.9972904061745101E-2</v>
      </c>
      <c r="L4344">
        <v>-6.5624935913179798E-3</v>
      </c>
      <c r="M4344">
        <v>1</v>
      </c>
      <c r="O4344">
        <v>-6.5624935913179798E-3</v>
      </c>
    </row>
    <row r="4345" spans="1:15" hidden="1" x14ac:dyDescent="0.3">
      <c r="A4345" t="s">
        <v>287</v>
      </c>
      <c r="B4345" t="s">
        <v>218</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287</v>
      </c>
      <c r="B4346" t="s">
        <v>261</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287</v>
      </c>
      <c r="B4347" t="s">
        <v>277</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287</v>
      </c>
      <c r="B4348" t="s">
        <v>251</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287</v>
      </c>
      <c r="B4349" t="s">
        <v>259</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287</v>
      </c>
      <c r="B4350" t="s">
        <v>329</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287</v>
      </c>
      <c r="B4351" t="s">
        <v>360</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287</v>
      </c>
      <c r="B4352" t="s">
        <v>358</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287</v>
      </c>
      <c r="B4353" t="s">
        <v>312</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287</v>
      </c>
      <c r="B4354" t="s">
        <v>361</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287</v>
      </c>
      <c r="B4355" t="s">
        <v>288</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287</v>
      </c>
      <c r="B4356" t="s">
        <v>306</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287</v>
      </c>
      <c r="B4357" t="s">
        <v>345</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287</v>
      </c>
      <c r="B4358" t="s">
        <v>338</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287</v>
      </c>
      <c r="B4359" t="s">
        <v>267</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287</v>
      </c>
      <c r="B4360" t="s">
        <v>328</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287</v>
      </c>
      <c r="B4361" t="s">
        <v>293</v>
      </c>
      <c r="C4361">
        <v>0</v>
      </c>
      <c r="D4361">
        <v>2</v>
      </c>
      <c r="E4361">
        <v>2</v>
      </c>
      <c r="F4361">
        <v>213</v>
      </c>
      <c r="G4361">
        <v>217</v>
      </c>
      <c r="H4361">
        <v>2</v>
      </c>
      <c r="I4361">
        <v>2</v>
      </c>
      <c r="J4361">
        <v>0.124826680957052</v>
      </c>
      <c r="L4361">
        <v>-9.30232558139534E-3</v>
      </c>
      <c r="M4361">
        <v>1</v>
      </c>
      <c r="O4361">
        <v>-9.30232558139534E-3</v>
      </c>
    </row>
    <row r="4362" spans="1:15" hidden="1" x14ac:dyDescent="0.3">
      <c r="A4362" t="s">
        <v>287</v>
      </c>
      <c r="B4362" t="s">
        <v>216</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287</v>
      </c>
      <c r="B4363" t="s">
        <v>297</v>
      </c>
      <c r="C4363">
        <v>0</v>
      </c>
      <c r="D4363">
        <v>1</v>
      </c>
      <c r="E4363">
        <v>2</v>
      </c>
      <c r="F4363">
        <v>214</v>
      </c>
      <c r="G4363">
        <v>217</v>
      </c>
      <c r="H4363">
        <v>2</v>
      </c>
      <c r="I4363">
        <v>1</v>
      </c>
      <c r="J4363">
        <v>8.9972904061745101E-2</v>
      </c>
      <c r="L4363">
        <v>-6.5624935913179798E-3</v>
      </c>
      <c r="M4363">
        <v>1</v>
      </c>
      <c r="O4363">
        <v>-6.5624935913179798E-3</v>
      </c>
    </row>
    <row r="4364" spans="1:15" hidden="1" x14ac:dyDescent="0.3">
      <c r="A4364" t="s">
        <v>287</v>
      </c>
      <c r="B4364" t="s">
        <v>264</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287</v>
      </c>
      <c r="B4365" t="s">
        <v>359</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287</v>
      </c>
      <c r="B4366" t="s">
        <v>313</v>
      </c>
      <c r="C4366">
        <v>0</v>
      </c>
      <c r="D4366">
        <v>1</v>
      </c>
      <c r="E4366">
        <v>2</v>
      </c>
      <c r="F4366">
        <v>214</v>
      </c>
      <c r="G4366">
        <v>217</v>
      </c>
      <c r="H4366">
        <v>2</v>
      </c>
      <c r="I4366">
        <v>1</v>
      </c>
      <c r="J4366">
        <v>8.9972904061745101E-2</v>
      </c>
      <c r="L4366">
        <v>-6.5624935913179798E-3</v>
      </c>
      <c r="M4366">
        <v>1</v>
      </c>
      <c r="O4366">
        <v>-6.5624935913179798E-3</v>
      </c>
    </row>
    <row r="4367" spans="1:15" hidden="1" x14ac:dyDescent="0.3">
      <c r="A4367" t="s">
        <v>287</v>
      </c>
      <c r="B4367" t="s">
        <v>331</v>
      </c>
      <c r="C4367">
        <v>0</v>
      </c>
      <c r="D4367">
        <v>2</v>
      </c>
      <c r="E4367">
        <v>2</v>
      </c>
      <c r="F4367">
        <v>213</v>
      </c>
      <c r="G4367">
        <v>217</v>
      </c>
      <c r="H4367">
        <v>2</v>
      </c>
      <c r="I4367">
        <v>2</v>
      </c>
      <c r="J4367">
        <v>0.124826680957052</v>
      </c>
      <c r="L4367">
        <v>-9.30232558139534E-3</v>
      </c>
      <c r="M4367">
        <v>1</v>
      </c>
      <c r="O4367">
        <v>-9.30232558139534E-3</v>
      </c>
    </row>
    <row r="4368" spans="1:15" hidden="1" x14ac:dyDescent="0.3">
      <c r="A4368" t="s">
        <v>287</v>
      </c>
      <c r="B4368" t="s">
        <v>285</v>
      </c>
      <c r="C4368">
        <v>0</v>
      </c>
      <c r="D4368">
        <v>1</v>
      </c>
      <c r="E4368">
        <v>2</v>
      </c>
      <c r="F4368">
        <v>214</v>
      </c>
      <c r="G4368">
        <v>217</v>
      </c>
      <c r="H4368">
        <v>2</v>
      </c>
      <c r="I4368">
        <v>1</v>
      </c>
      <c r="J4368">
        <v>8.9972904061745101E-2</v>
      </c>
      <c r="L4368">
        <v>-6.5624935913179798E-3</v>
      </c>
      <c r="M4368">
        <v>1</v>
      </c>
      <c r="O4368">
        <v>-6.5624935913179798E-3</v>
      </c>
    </row>
    <row r="4369" spans="1:15" x14ac:dyDescent="0.3">
      <c r="A4369" t="s">
        <v>287</v>
      </c>
      <c r="B4369" t="s">
        <v>152</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287</v>
      </c>
      <c r="B4370" t="s">
        <v>311</v>
      </c>
      <c r="C4370">
        <v>0</v>
      </c>
      <c r="D4370">
        <v>1</v>
      </c>
      <c r="E4370">
        <v>2</v>
      </c>
      <c r="F4370">
        <v>214</v>
      </c>
      <c r="G4370">
        <v>217</v>
      </c>
      <c r="H4370">
        <v>2</v>
      </c>
      <c r="I4370">
        <v>1</v>
      </c>
      <c r="J4370">
        <v>8.9972904061745101E-2</v>
      </c>
      <c r="L4370">
        <v>-6.5624935913179798E-3</v>
      </c>
      <c r="M4370">
        <v>1</v>
      </c>
      <c r="O4370">
        <v>-6.5624935913179798E-3</v>
      </c>
    </row>
    <row r="4371" spans="1:15" hidden="1" x14ac:dyDescent="0.3">
      <c r="A4371" t="s">
        <v>287</v>
      </c>
      <c r="B4371" t="s">
        <v>213</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287</v>
      </c>
      <c r="B4372" t="s">
        <v>330</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287</v>
      </c>
      <c r="B4373" t="s">
        <v>252</v>
      </c>
      <c r="C4373">
        <v>0</v>
      </c>
      <c r="D4373">
        <v>3</v>
      </c>
      <c r="E4373">
        <v>2</v>
      </c>
      <c r="F4373">
        <v>212</v>
      </c>
      <c r="G4373">
        <v>217</v>
      </c>
      <c r="H4373">
        <v>2</v>
      </c>
      <c r="I4373">
        <v>3</v>
      </c>
      <c r="J4373">
        <v>0.15066306992548201</v>
      </c>
      <c r="L4373">
        <v>-1.14195636249397E-2</v>
      </c>
      <c r="M4373">
        <v>1</v>
      </c>
      <c r="O4373">
        <v>-1.14195636249397E-2</v>
      </c>
    </row>
    <row r="4374" spans="1:15" x14ac:dyDescent="0.3">
      <c r="A4374" t="s">
        <v>287</v>
      </c>
      <c r="B4374" t="s">
        <v>170</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287</v>
      </c>
      <c r="B4375" t="s">
        <v>281</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287</v>
      </c>
      <c r="B4376" t="s">
        <v>324</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287</v>
      </c>
      <c r="B4377" t="s">
        <v>278</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287</v>
      </c>
      <c r="B4378" t="s">
        <v>292</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287</v>
      </c>
      <c r="B4379" t="s">
        <v>172</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287</v>
      </c>
      <c r="B4380" t="s">
        <v>323</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287</v>
      </c>
      <c r="B4381" t="s">
        <v>326</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287</v>
      </c>
      <c r="B4382" t="s">
        <v>325</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287</v>
      </c>
      <c r="B4383" t="s">
        <v>256</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287</v>
      </c>
      <c r="B4384" t="s">
        <v>243</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287</v>
      </c>
      <c r="B4385" t="s">
        <v>327</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287</v>
      </c>
      <c r="B4386" t="s">
        <v>174</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287</v>
      </c>
      <c r="B4387" t="s">
        <v>260</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287</v>
      </c>
      <c r="B4388" t="s">
        <v>280</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287</v>
      </c>
      <c r="B4389" t="s">
        <v>318</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287</v>
      </c>
      <c r="B4390" t="s">
        <v>244</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287</v>
      </c>
      <c r="B4391" t="s">
        <v>336</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287</v>
      </c>
      <c r="B4392" t="s">
        <v>304</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287</v>
      </c>
      <c r="B4393" t="s">
        <v>270</v>
      </c>
      <c r="C4393">
        <v>0</v>
      </c>
      <c r="D4393">
        <v>3</v>
      </c>
      <c r="E4393">
        <v>2</v>
      </c>
      <c r="F4393">
        <v>212</v>
      </c>
      <c r="G4393">
        <v>217</v>
      </c>
      <c r="H4393">
        <v>2</v>
      </c>
      <c r="I4393">
        <v>3</v>
      </c>
      <c r="J4393">
        <v>0.15066306992548201</v>
      </c>
      <c r="L4393">
        <v>-1.14195636249397E-2</v>
      </c>
      <c r="M4393">
        <v>1</v>
      </c>
      <c r="O4393">
        <v>-1.14195636249397E-2</v>
      </c>
    </row>
    <row r="4394" spans="1:15" x14ac:dyDescent="0.3">
      <c r="A4394" t="s">
        <v>287</v>
      </c>
      <c r="B4394" t="s">
        <v>257</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287</v>
      </c>
      <c r="B4395" t="s">
        <v>307</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287</v>
      </c>
      <c r="B4396" t="s">
        <v>286</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287</v>
      </c>
      <c r="B4397" t="s">
        <v>198</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287</v>
      </c>
      <c r="B4398" t="s">
        <v>289</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287</v>
      </c>
      <c r="B4399" t="s">
        <v>282</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287</v>
      </c>
      <c r="B4400" t="s">
        <v>291</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124</v>
      </c>
      <c r="B4401" t="s">
        <v>314</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124</v>
      </c>
      <c r="B4402" t="s">
        <v>357</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124</v>
      </c>
      <c r="B4403" t="s">
        <v>356</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124</v>
      </c>
      <c r="B4404" t="s">
        <v>273</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124</v>
      </c>
      <c r="B4405" t="s">
        <v>242</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124</v>
      </c>
      <c r="B4406" t="s">
        <v>332</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124</v>
      </c>
      <c r="B4407" t="s">
        <v>355</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124</v>
      </c>
      <c r="B4408" t="s">
        <v>335</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124</v>
      </c>
      <c r="B4409" t="s">
        <v>266</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124</v>
      </c>
      <c r="B4410" t="s">
        <v>272</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124</v>
      </c>
      <c r="B4411" t="s">
        <v>310</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124</v>
      </c>
      <c r="B4412" t="s">
        <v>317</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124</v>
      </c>
      <c r="B4413" t="s">
        <v>362</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124</v>
      </c>
      <c r="B4414" t="s">
        <v>354</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124</v>
      </c>
      <c r="B4415" t="s">
        <v>353</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124</v>
      </c>
      <c r="B4416" t="s">
        <v>363</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124</v>
      </c>
      <c r="B4417" t="s">
        <v>248</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124</v>
      </c>
      <c r="B4418" t="s">
        <v>342</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124</v>
      </c>
      <c r="B4419" t="s">
        <v>315</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124</v>
      </c>
      <c r="B4420" t="s">
        <v>247</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124</v>
      </c>
      <c r="B4421" t="s">
        <v>241</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124</v>
      </c>
      <c r="B4422" t="s">
        <v>265</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124</v>
      </c>
      <c r="B4423" t="s">
        <v>271</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124</v>
      </c>
      <c r="B4424" t="s">
        <v>255</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124</v>
      </c>
      <c r="B4425" t="s">
        <v>296</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124</v>
      </c>
      <c r="B4426" t="s">
        <v>249</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124</v>
      </c>
      <c r="B4427" t="s">
        <v>308</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124</v>
      </c>
      <c r="B4428" t="s">
        <v>319</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124</v>
      </c>
      <c r="B4429" t="s">
        <v>343</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124</v>
      </c>
      <c r="B4430" t="s">
        <v>258</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124</v>
      </c>
      <c r="B4431" t="s">
        <v>344</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124</v>
      </c>
      <c r="B4432" t="s">
        <v>276</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124</v>
      </c>
      <c r="B4433" t="s">
        <v>263</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124</v>
      </c>
      <c r="B4434" t="s">
        <v>320</v>
      </c>
      <c r="C4434">
        <v>0</v>
      </c>
      <c r="D4434">
        <v>1</v>
      </c>
      <c r="E4434">
        <v>11</v>
      </c>
      <c r="F4434">
        <v>205</v>
      </c>
      <c r="G4434">
        <v>217</v>
      </c>
      <c r="H4434">
        <v>11</v>
      </c>
      <c r="I4434">
        <v>1</v>
      </c>
      <c r="J4434">
        <v>0.19837015644199599</v>
      </c>
      <c r="L4434">
        <v>-1.5723016016341299E-2</v>
      </c>
      <c r="M4434">
        <v>1</v>
      </c>
      <c r="O4434">
        <v>-1.5723016016341299E-2</v>
      </c>
    </row>
    <row r="4435" spans="1:15" hidden="1" x14ac:dyDescent="0.3">
      <c r="A4435" t="s">
        <v>124</v>
      </c>
      <c r="B4435" t="s">
        <v>221</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124</v>
      </c>
      <c r="B4436" t="s">
        <v>284</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124</v>
      </c>
      <c r="B4437" t="s">
        <v>299</v>
      </c>
      <c r="C4437">
        <v>0</v>
      </c>
      <c r="D4437">
        <v>8</v>
      </c>
      <c r="E4437">
        <v>11</v>
      </c>
      <c r="F4437">
        <v>198</v>
      </c>
      <c r="G4437">
        <v>217</v>
      </c>
      <c r="H4437">
        <v>11</v>
      </c>
      <c r="I4437">
        <v>8</v>
      </c>
      <c r="J4437">
        <v>0.46494662353884098</v>
      </c>
      <c r="L4437">
        <v>-4.5210007890842403E-2</v>
      </c>
      <c r="M4437">
        <v>1</v>
      </c>
      <c r="O4437">
        <v>-4.5210007890842403E-2</v>
      </c>
    </row>
    <row r="4438" spans="1:15" hidden="1" x14ac:dyDescent="0.3">
      <c r="A4438" t="s">
        <v>124</v>
      </c>
      <c r="B4438" t="s">
        <v>351</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124</v>
      </c>
      <c r="B4439" t="s">
        <v>337</v>
      </c>
      <c r="C4439">
        <v>0</v>
      </c>
      <c r="D4439">
        <v>3</v>
      </c>
      <c r="E4439">
        <v>11</v>
      </c>
      <c r="F4439">
        <v>203</v>
      </c>
      <c r="G4439">
        <v>217</v>
      </c>
      <c r="H4439">
        <v>11</v>
      </c>
      <c r="I4439">
        <v>3</v>
      </c>
      <c r="J4439">
        <v>0.318167220875399</v>
      </c>
      <c r="L4439">
        <v>-2.73600239415237E-2</v>
      </c>
      <c r="M4439">
        <v>1</v>
      </c>
      <c r="O4439">
        <v>-2.73600239415237E-2</v>
      </c>
    </row>
    <row r="4440" spans="1:15" hidden="1" x14ac:dyDescent="0.3">
      <c r="A4440" t="s">
        <v>124</v>
      </c>
      <c r="B4440" t="s">
        <v>212</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124</v>
      </c>
      <c r="B4441" t="s">
        <v>347</v>
      </c>
      <c r="C4441">
        <v>0</v>
      </c>
      <c r="D4441">
        <v>1</v>
      </c>
      <c r="E4441">
        <v>11</v>
      </c>
      <c r="F4441">
        <v>205</v>
      </c>
      <c r="G4441">
        <v>217</v>
      </c>
      <c r="H4441">
        <v>11</v>
      </c>
      <c r="I4441">
        <v>1</v>
      </c>
      <c r="J4441">
        <v>0.19837015644199599</v>
      </c>
      <c r="L4441">
        <v>-1.5723016016341299E-2</v>
      </c>
      <c r="M4441">
        <v>1</v>
      </c>
      <c r="O4441">
        <v>-1.5723016016341299E-2</v>
      </c>
    </row>
    <row r="4442" spans="1:15" hidden="1" x14ac:dyDescent="0.3">
      <c r="A4442" t="s">
        <v>124</v>
      </c>
      <c r="B4442" t="s">
        <v>153</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124</v>
      </c>
      <c r="B4443" t="s">
        <v>283</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124</v>
      </c>
      <c r="B4444" t="s">
        <v>5</v>
      </c>
      <c r="C4444">
        <v>0</v>
      </c>
      <c r="D4444">
        <v>3</v>
      </c>
      <c r="E4444">
        <v>11</v>
      </c>
      <c r="F4444">
        <v>203</v>
      </c>
      <c r="G4444">
        <v>217</v>
      </c>
      <c r="H4444">
        <v>11</v>
      </c>
      <c r="I4444">
        <v>3</v>
      </c>
      <c r="J4444">
        <v>0.318167220875399</v>
      </c>
      <c r="L4444">
        <v>-2.73600239415237E-2</v>
      </c>
      <c r="M4444">
        <v>1</v>
      </c>
      <c r="O4444">
        <v>-2.73600239415237E-2</v>
      </c>
    </row>
    <row r="4445" spans="1:15" hidden="1" x14ac:dyDescent="0.3">
      <c r="A4445" t="s">
        <v>124</v>
      </c>
      <c r="B4445" t="s">
        <v>219</v>
      </c>
      <c r="C4445">
        <v>0</v>
      </c>
      <c r="D4445">
        <v>4</v>
      </c>
      <c r="E4445">
        <v>11</v>
      </c>
      <c r="F4445">
        <v>202</v>
      </c>
      <c r="G4445">
        <v>217</v>
      </c>
      <c r="H4445">
        <v>11</v>
      </c>
      <c r="I4445">
        <v>4</v>
      </c>
      <c r="J4445">
        <v>0.35738959391717101</v>
      </c>
      <c r="L4445">
        <v>-3.1666708649073297E-2</v>
      </c>
      <c r="M4445">
        <v>1</v>
      </c>
      <c r="O4445">
        <v>-3.1666708649073297E-2</v>
      </c>
    </row>
    <row r="4446" spans="1:15" hidden="1" x14ac:dyDescent="0.3">
      <c r="A4446" t="s">
        <v>124</v>
      </c>
      <c r="B4446" t="s">
        <v>220</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124</v>
      </c>
      <c r="B4447" t="s">
        <v>201</v>
      </c>
      <c r="C4447">
        <v>0</v>
      </c>
      <c r="D4447">
        <v>4</v>
      </c>
      <c r="E4447">
        <v>11</v>
      </c>
      <c r="F4447">
        <v>202</v>
      </c>
      <c r="G4447">
        <v>217</v>
      </c>
      <c r="H4447">
        <v>11</v>
      </c>
      <c r="I4447">
        <v>4</v>
      </c>
      <c r="J4447">
        <v>0.35738959391717101</v>
      </c>
      <c r="L4447">
        <v>-3.1666708649073297E-2</v>
      </c>
      <c r="M4447">
        <v>1</v>
      </c>
      <c r="O4447">
        <v>-3.1666708649073297E-2</v>
      </c>
    </row>
    <row r="4448" spans="1:15" hidden="1" x14ac:dyDescent="0.3">
      <c r="A4448" t="s">
        <v>124</v>
      </c>
      <c r="B4448" t="s">
        <v>279</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124</v>
      </c>
      <c r="B4449" t="s">
        <v>262</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124</v>
      </c>
      <c r="B4450" t="s">
        <v>321</v>
      </c>
      <c r="C4450">
        <v>0</v>
      </c>
      <c r="D4450">
        <v>1</v>
      </c>
      <c r="E4450">
        <v>11</v>
      </c>
      <c r="F4450">
        <v>205</v>
      </c>
      <c r="G4450">
        <v>217</v>
      </c>
      <c r="H4450">
        <v>11</v>
      </c>
      <c r="I4450">
        <v>1</v>
      </c>
      <c r="J4450">
        <v>0.19837015644199599</v>
      </c>
      <c r="L4450">
        <v>-1.5723016016341299E-2</v>
      </c>
      <c r="M4450">
        <v>1</v>
      </c>
      <c r="O4450">
        <v>-1.5723016016341299E-2</v>
      </c>
    </row>
    <row r="4451" spans="1:15" hidden="1" x14ac:dyDescent="0.3">
      <c r="A4451" t="s">
        <v>124</v>
      </c>
      <c r="B4451" t="s">
        <v>215</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124</v>
      </c>
      <c r="B4452" t="s">
        <v>253</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124</v>
      </c>
      <c r="B4453" t="s">
        <v>341</v>
      </c>
      <c r="C4453">
        <v>0</v>
      </c>
      <c r="D4453">
        <v>1</v>
      </c>
      <c r="E4453">
        <v>11</v>
      </c>
      <c r="F4453">
        <v>205</v>
      </c>
      <c r="G4453">
        <v>217</v>
      </c>
      <c r="H4453">
        <v>11</v>
      </c>
      <c r="I4453">
        <v>1</v>
      </c>
      <c r="J4453">
        <v>0.19837015644199599</v>
      </c>
      <c r="L4453">
        <v>-1.5723016016341299E-2</v>
      </c>
      <c r="M4453">
        <v>1</v>
      </c>
      <c r="O4453">
        <v>-1.5723016016341299E-2</v>
      </c>
    </row>
    <row r="4454" spans="1:15" hidden="1" x14ac:dyDescent="0.3">
      <c r="A4454" t="s">
        <v>124</v>
      </c>
      <c r="B4454" t="s">
        <v>214</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124</v>
      </c>
      <c r="B4455" t="s">
        <v>168</v>
      </c>
      <c r="C4455">
        <v>0</v>
      </c>
      <c r="D4455">
        <v>5</v>
      </c>
      <c r="E4455">
        <v>11</v>
      </c>
      <c r="F4455">
        <v>201</v>
      </c>
      <c r="G4455">
        <v>217</v>
      </c>
      <c r="H4455">
        <v>11</v>
      </c>
      <c r="I4455">
        <v>5</v>
      </c>
      <c r="J4455">
        <v>0.39007131133293199</v>
      </c>
      <c r="L4455">
        <v>-3.5487859421650503E-2</v>
      </c>
      <c r="M4455">
        <v>1</v>
      </c>
      <c r="O4455">
        <v>-3.5487859421650503E-2</v>
      </c>
    </row>
    <row r="4456" spans="1:15" hidden="1" x14ac:dyDescent="0.3">
      <c r="A4456" t="s">
        <v>124</v>
      </c>
      <c r="B4456" t="s">
        <v>352</v>
      </c>
      <c r="C4456">
        <v>0</v>
      </c>
      <c r="D4456">
        <v>1</v>
      </c>
      <c r="E4456">
        <v>11</v>
      </c>
      <c r="F4456">
        <v>205</v>
      </c>
      <c r="G4456">
        <v>217</v>
      </c>
      <c r="H4456">
        <v>11</v>
      </c>
      <c r="I4456">
        <v>1</v>
      </c>
      <c r="J4456">
        <v>0.19837015644199599</v>
      </c>
      <c r="L4456">
        <v>-1.5723016016341299E-2</v>
      </c>
      <c r="M4456">
        <v>1</v>
      </c>
      <c r="O4456">
        <v>-1.5723016016341299E-2</v>
      </c>
    </row>
    <row r="4457" spans="1:15" x14ac:dyDescent="0.3">
      <c r="A4457" t="s">
        <v>124</v>
      </c>
      <c r="B4457" t="s">
        <v>169</v>
      </c>
      <c r="C4457">
        <v>0</v>
      </c>
      <c r="D4457">
        <v>2</v>
      </c>
      <c r="E4457">
        <v>11</v>
      </c>
      <c r="F4457">
        <v>204</v>
      </c>
      <c r="G4457">
        <v>217</v>
      </c>
      <c r="H4457">
        <v>11</v>
      </c>
      <c r="I4457">
        <v>2</v>
      </c>
      <c r="J4457">
        <v>0.26852657159596099</v>
      </c>
      <c r="L4457">
        <v>-2.22873534381808E-2</v>
      </c>
      <c r="M4457">
        <v>1</v>
      </c>
      <c r="O4457">
        <v>-2.22873534381808E-2</v>
      </c>
    </row>
    <row r="4458" spans="1:15" x14ac:dyDescent="0.3">
      <c r="A4458" t="s">
        <v>124</v>
      </c>
      <c r="B4458" t="s">
        <v>175</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124</v>
      </c>
      <c r="B4459" t="s">
        <v>340</v>
      </c>
      <c r="C4459">
        <v>0</v>
      </c>
      <c r="D4459">
        <v>1</v>
      </c>
      <c r="E4459">
        <v>11</v>
      </c>
      <c r="F4459">
        <v>205</v>
      </c>
      <c r="G4459">
        <v>217</v>
      </c>
      <c r="H4459">
        <v>11</v>
      </c>
      <c r="I4459">
        <v>1</v>
      </c>
      <c r="J4459">
        <v>0.19837015644199599</v>
      </c>
      <c r="L4459">
        <v>-1.5723016016341299E-2</v>
      </c>
      <c r="M4459">
        <v>1</v>
      </c>
      <c r="O4459">
        <v>-1.5723016016341299E-2</v>
      </c>
    </row>
    <row r="4460" spans="1:15" hidden="1" x14ac:dyDescent="0.3">
      <c r="A4460" t="s">
        <v>124</v>
      </c>
      <c r="B4460" t="s">
        <v>190</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124</v>
      </c>
      <c r="B4461" t="s">
        <v>346</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124</v>
      </c>
      <c r="B4462" t="s">
        <v>309</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124</v>
      </c>
      <c r="B4463" t="s">
        <v>148</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124</v>
      </c>
      <c r="B4464" t="s">
        <v>173</v>
      </c>
      <c r="C4464">
        <v>0</v>
      </c>
      <c r="D4464">
        <v>2</v>
      </c>
      <c r="E4464">
        <v>11</v>
      </c>
      <c r="F4464">
        <v>204</v>
      </c>
      <c r="G4464">
        <v>217</v>
      </c>
      <c r="H4464">
        <v>11</v>
      </c>
      <c r="I4464">
        <v>2</v>
      </c>
      <c r="J4464">
        <v>0.26852657159596099</v>
      </c>
      <c r="L4464">
        <v>-2.22873534381808E-2</v>
      </c>
      <c r="M4464">
        <v>1</v>
      </c>
      <c r="O4464">
        <v>-2.22873534381808E-2</v>
      </c>
    </row>
    <row r="4465" spans="1:15" hidden="1" x14ac:dyDescent="0.3">
      <c r="A4465" t="s">
        <v>124</v>
      </c>
      <c r="B4465" t="s">
        <v>217</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124</v>
      </c>
      <c r="B4466" t="s">
        <v>348</v>
      </c>
      <c r="C4466">
        <v>0</v>
      </c>
      <c r="D4466">
        <v>1</v>
      </c>
      <c r="E4466">
        <v>11</v>
      </c>
      <c r="F4466">
        <v>205</v>
      </c>
      <c r="G4466">
        <v>217</v>
      </c>
      <c r="H4466">
        <v>11</v>
      </c>
      <c r="I4466">
        <v>1</v>
      </c>
      <c r="J4466">
        <v>0.19837015644199599</v>
      </c>
      <c r="L4466">
        <v>-1.5723016016341299E-2</v>
      </c>
      <c r="M4466">
        <v>1</v>
      </c>
      <c r="O4466">
        <v>-1.5723016016341299E-2</v>
      </c>
    </row>
    <row r="4467" spans="1:15" hidden="1" x14ac:dyDescent="0.3">
      <c r="A4467" t="s">
        <v>124</v>
      </c>
      <c r="B4467" t="s">
        <v>222</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124</v>
      </c>
      <c r="B4468" t="s">
        <v>269</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124</v>
      </c>
      <c r="B4469" t="s">
        <v>349</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124</v>
      </c>
      <c r="B4470" t="s">
        <v>274</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124</v>
      </c>
      <c r="B4471" t="s">
        <v>316</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124</v>
      </c>
      <c r="B4472" t="s">
        <v>350</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124</v>
      </c>
      <c r="B4473" t="s">
        <v>261</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124</v>
      </c>
      <c r="B4474" t="s">
        <v>277</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124</v>
      </c>
      <c r="B4475" t="s">
        <v>251</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124</v>
      </c>
      <c r="B4476" t="s">
        <v>259</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124</v>
      </c>
      <c r="B4477" t="s">
        <v>329</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124</v>
      </c>
      <c r="B4478" t="s">
        <v>360</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124</v>
      </c>
      <c r="B4479" t="s">
        <v>358</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124</v>
      </c>
      <c r="B4480" t="s">
        <v>312</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124</v>
      </c>
      <c r="B4481" t="s">
        <v>361</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124</v>
      </c>
      <c r="B4482" t="s">
        <v>288</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124</v>
      </c>
      <c r="B4483" t="s">
        <v>306</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124</v>
      </c>
      <c r="B4484" t="s">
        <v>345</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124</v>
      </c>
      <c r="B4485" t="s">
        <v>338</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124</v>
      </c>
      <c r="B4486" t="s">
        <v>267</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124</v>
      </c>
      <c r="B4487" t="s">
        <v>194</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124</v>
      </c>
      <c r="B4488" t="s">
        <v>328</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124</v>
      </c>
      <c r="B4489" t="s">
        <v>293</v>
      </c>
      <c r="C4489">
        <v>0</v>
      </c>
      <c r="D4489">
        <v>2</v>
      </c>
      <c r="E4489">
        <v>11</v>
      </c>
      <c r="F4489">
        <v>204</v>
      </c>
      <c r="G4489">
        <v>217</v>
      </c>
      <c r="H4489">
        <v>11</v>
      </c>
      <c r="I4489">
        <v>2</v>
      </c>
      <c r="J4489">
        <v>0.26852657159596099</v>
      </c>
      <c r="L4489">
        <v>-2.22873534381808E-2</v>
      </c>
      <c r="M4489">
        <v>1</v>
      </c>
      <c r="O4489">
        <v>-2.22873534381808E-2</v>
      </c>
    </row>
    <row r="4490" spans="1:15" hidden="1" x14ac:dyDescent="0.3">
      <c r="A4490" t="s">
        <v>124</v>
      </c>
      <c r="B4490" t="s">
        <v>216</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124</v>
      </c>
      <c r="B4491" t="s">
        <v>297</v>
      </c>
      <c r="C4491">
        <v>0</v>
      </c>
      <c r="D4491">
        <v>1</v>
      </c>
      <c r="E4491">
        <v>11</v>
      </c>
      <c r="F4491">
        <v>205</v>
      </c>
      <c r="G4491">
        <v>217</v>
      </c>
      <c r="H4491">
        <v>11</v>
      </c>
      <c r="I4491">
        <v>1</v>
      </c>
      <c r="J4491">
        <v>0.19837015644199599</v>
      </c>
      <c r="L4491">
        <v>-1.5723016016341299E-2</v>
      </c>
      <c r="M4491">
        <v>1</v>
      </c>
      <c r="O4491">
        <v>-1.5723016016341299E-2</v>
      </c>
    </row>
    <row r="4492" spans="1:15" hidden="1" x14ac:dyDescent="0.3">
      <c r="A4492" t="s">
        <v>124</v>
      </c>
      <c r="B4492" t="s">
        <v>264</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124</v>
      </c>
      <c r="B4493" t="s">
        <v>359</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124</v>
      </c>
      <c r="B4494" t="s">
        <v>313</v>
      </c>
      <c r="C4494">
        <v>0</v>
      </c>
      <c r="D4494">
        <v>1</v>
      </c>
      <c r="E4494">
        <v>11</v>
      </c>
      <c r="F4494">
        <v>205</v>
      </c>
      <c r="G4494">
        <v>217</v>
      </c>
      <c r="H4494">
        <v>11</v>
      </c>
      <c r="I4494">
        <v>1</v>
      </c>
      <c r="J4494">
        <v>0.19837015644199599</v>
      </c>
      <c r="L4494">
        <v>-1.5723016016341299E-2</v>
      </c>
      <c r="M4494">
        <v>1</v>
      </c>
      <c r="O4494">
        <v>-1.5723016016341299E-2</v>
      </c>
    </row>
    <row r="4495" spans="1:15" hidden="1" x14ac:dyDescent="0.3">
      <c r="A4495" t="s">
        <v>124</v>
      </c>
      <c r="B4495" t="s">
        <v>331</v>
      </c>
      <c r="C4495">
        <v>0</v>
      </c>
      <c r="D4495">
        <v>2</v>
      </c>
      <c r="E4495">
        <v>11</v>
      </c>
      <c r="F4495">
        <v>204</v>
      </c>
      <c r="G4495">
        <v>217</v>
      </c>
      <c r="H4495">
        <v>11</v>
      </c>
      <c r="I4495">
        <v>2</v>
      </c>
      <c r="J4495">
        <v>0.26852657159596099</v>
      </c>
      <c r="L4495">
        <v>-2.22873534381808E-2</v>
      </c>
      <c r="M4495">
        <v>1</v>
      </c>
      <c r="O4495">
        <v>-2.22873534381808E-2</v>
      </c>
    </row>
    <row r="4496" spans="1:15" hidden="1" x14ac:dyDescent="0.3">
      <c r="A4496" t="s">
        <v>124</v>
      </c>
      <c r="B4496" t="s">
        <v>285</v>
      </c>
      <c r="C4496">
        <v>0</v>
      </c>
      <c r="D4496">
        <v>1</v>
      </c>
      <c r="E4496">
        <v>11</v>
      </c>
      <c r="F4496">
        <v>205</v>
      </c>
      <c r="G4496">
        <v>217</v>
      </c>
      <c r="H4496">
        <v>11</v>
      </c>
      <c r="I4496">
        <v>1</v>
      </c>
      <c r="J4496">
        <v>0.19837015644199599</v>
      </c>
      <c r="L4496">
        <v>-1.5723016016341299E-2</v>
      </c>
      <c r="M4496">
        <v>1</v>
      </c>
      <c r="O4496">
        <v>-1.5723016016341299E-2</v>
      </c>
    </row>
    <row r="4497" spans="1:15" x14ac:dyDescent="0.3">
      <c r="A4497" t="s">
        <v>124</v>
      </c>
      <c r="B4497" t="s">
        <v>152</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124</v>
      </c>
      <c r="B4498" t="s">
        <v>311</v>
      </c>
      <c r="C4498">
        <v>0</v>
      </c>
      <c r="D4498">
        <v>1</v>
      </c>
      <c r="E4498">
        <v>11</v>
      </c>
      <c r="F4498">
        <v>205</v>
      </c>
      <c r="G4498">
        <v>217</v>
      </c>
      <c r="H4498">
        <v>11</v>
      </c>
      <c r="I4498">
        <v>1</v>
      </c>
      <c r="J4498">
        <v>0.19837015644199599</v>
      </c>
      <c r="L4498">
        <v>-1.5723016016341299E-2</v>
      </c>
      <c r="M4498">
        <v>1</v>
      </c>
      <c r="O4498">
        <v>-1.5723016016341299E-2</v>
      </c>
    </row>
    <row r="4499" spans="1:15" hidden="1" x14ac:dyDescent="0.3">
      <c r="A4499" t="s">
        <v>124</v>
      </c>
      <c r="B4499" t="s">
        <v>213</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124</v>
      </c>
      <c r="B4500" t="s">
        <v>330</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124</v>
      </c>
      <c r="B4501" t="s">
        <v>252</v>
      </c>
      <c r="C4501">
        <v>0</v>
      </c>
      <c r="D4501">
        <v>3</v>
      </c>
      <c r="E4501">
        <v>11</v>
      </c>
      <c r="F4501">
        <v>203</v>
      </c>
      <c r="G4501">
        <v>217</v>
      </c>
      <c r="H4501">
        <v>11</v>
      </c>
      <c r="I4501">
        <v>3</v>
      </c>
      <c r="J4501">
        <v>0.318167220875399</v>
      </c>
      <c r="L4501">
        <v>-2.73600239415237E-2</v>
      </c>
      <c r="M4501">
        <v>1</v>
      </c>
      <c r="O4501">
        <v>-2.73600239415237E-2</v>
      </c>
    </row>
    <row r="4502" spans="1:15" x14ac:dyDescent="0.3">
      <c r="A4502" t="s">
        <v>124</v>
      </c>
      <c r="B4502" t="s">
        <v>170</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124</v>
      </c>
      <c r="B4503" t="s">
        <v>281</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124</v>
      </c>
      <c r="B4504" t="s">
        <v>324</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124</v>
      </c>
      <c r="B4505" t="s">
        <v>278</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124</v>
      </c>
      <c r="B4506" t="s">
        <v>292</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124</v>
      </c>
      <c r="B4507" t="s">
        <v>172</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124</v>
      </c>
      <c r="B4508" t="s">
        <v>323</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124</v>
      </c>
      <c r="B4509" t="s">
        <v>326</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124</v>
      </c>
      <c r="B4510" t="s">
        <v>325</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124</v>
      </c>
      <c r="B4511" t="s">
        <v>256</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124</v>
      </c>
      <c r="B4512" t="s">
        <v>243</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124</v>
      </c>
      <c r="B4513" t="s">
        <v>327</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124</v>
      </c>
      <c r="B4514" t="s">
        <v>174</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124</v>
      </c>
      <c r="B4515" t="s">
        <v>260</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124</v>
      </c>
      <c r="B4516" t="s">
        <v>280</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124</v>
      </c>
      <c r="B4517" t="s">
        <v>318</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124</v>
      </c>
      <c r="B4518" t="s">
        <v>244</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124</v>
      </c>
      <c r="B4519" t="s">
        <v>336</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124</v>
      </c>
      <c r="B4520" t="s">
        <v>304</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124</v>
      </c>
      <c r="B4521" t="s">
        <v>270</v>
      </c>
      <c r="C4521">
        <v>0</v>
      </c>
      <c r="D4521">
        <v>3</v>
      </c>
      <c r="E4521">
        <v>11</v>
      </c>
      <c r="F4521">
        <v>203</v>
      </c>
      <c r="G4521">
        <v>217</v>
      </c>
      <c r="H4521">
        <v>11</v>
      </c>
      <c r="I4521">
        <v>3</v>
      </c>
      <c r="J4521">
        <v>0.318167220875399</v>
      </c>
      <c r="L4521">
        <v>-2.73600239415237E-2</v>
      </c>
      <c r="M4521">
        <v>1</v>
      </c>
      <c r="O4521">
        <v>-2.73600239415237E-2</v>
      </c>
    </row>
    <row r="4522" spans="1:15" x14ac:dyDescent="0.3">
      <c r="A4522" t="s">
        <v>124</v>
      </c>
      <c r="B4522" t="s">
        <v>257</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124</v>
      </c>
      <c r="B4523" t="s">
        <v>307</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124</v>
      </c>
      <c r="B4524" t="s">
        <v>286</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124</v>
      </c>
      <c r="B4525" t="s">
        <v>198</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124</v>
      </c>
      <c r="B4526" t="s">
        <v>282</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124</v>
      </c>
      <c r="B4527" t="s">
        <v>291</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125</v>
      </c>
      <c r="B4528" t="s">
        <v>3</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125</v>
      </c>
      <c r="B4529" t="s">
        <v>314</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125</v>
      </c>
      <c r="B4530" t="s">
        <v>357</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125</v>
      </c>
      <c r="B4531" t="s">
        <v>356</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125</v>
      </c>
      <c r="B4532" t="s">
        <v>273</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125</v>
      </c>
      <c r="B4533" t="s">
        <v>242</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125</v>
      </c>
      <c r="B4534" t="s">
        <v>332</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125</v>
      </c>
      <c r="B4535" t="s">
        <v>355</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125</v>
      </c>
      <c r="B4536" t="s">
        <v>335</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125</v>
      </c>
      <c r="B4537" t="s">
        <v>266</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125</v>
      </c>
      <c r="B4538" t="s">
        <v>272</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125</v>
      </c>
      <c r="B4539" t="s">
        <v>310</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125</v>
      </c>
      <c r="B4540" t="s">
        <v>317</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125</v>
      </c>
      <c r="B4541" t="s">
        <v>9</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125</v>
      </c>
      <c r="B4542" t="s">
        <v>362</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125</v>
      </c>
      <c r="B4543" t="s">
        <v>354</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125</v>
      </c>
      <c r="B4544" t="s">
        <v>353</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125</v>
      </c>
      <c r="B4545" t="s">
        <v>363</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125</v>
      </c>
      <c r="B4546" t="s">
        <v>305</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125</v>
      </c>
      <c r="B4547" t="s">
        <v>339</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125</v>
      </c>
      <c r="B4548" t="s">
        <v>248</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125</v>
      </c>
      <c r="B4549" t="s">
        <v>342</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125</v>
      </c>
      <c r="B4550" t="s">
        <v>315</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125</v>
      </c>
      <c r="B4551" t="s">
        <v>241</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125</v>
      </c>
      <c r="B4552" t="s">
        <v>334</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125</v>
      </c>
      <c r="B4553" t="s">
        <v>300</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125</v>
      </c>
      <c r="B4554" t="s">
        <v>271</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125</v>
      </c>
      <c r="B4555" t="s">
        <v>255</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125</v>
      </c>
      <c r="B4556" t="s">
        <v>296</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125</v>
      </c>
      <c r="B4557" t="s">
        <v>249</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125</v>
      </c>
      <c r="B4558" t="s">
        <v>308</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125</v>
      </c>
      <c r="B4559" t="s">
        <v>319</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125</v>
      </c>
      <c r="B4560" t="s">
        <v>245</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125</v>
      </c>
      <c r="B4561" t="s">
        <v>240</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125</v>
      </c>
      <c r="B4562" t="s">
        <v>343</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125</v>
      </c>
      <c r="B4563" t="s">
        <v>258</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125</v>
      </c>
      <c r="B4564" t="s">
        <v>344</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125</v>
      </c>
      <c r="B4565" t="s">
        <v>276</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125</v>
      </c>
      <c r="B4566" t="s">
        <v>333</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125</v>
      </c>
      <c r="B4567" t="s">
        <v>263</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125</v>
      </c>
      <c r="B4568" t="s">
        <v>254</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125</v>
      </c>
      <c r="B4569" t="s">
        <v>320</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125</v>
      </c>
      <c r="B4570" t="s">
        <v>275</v>
      </c>
      <c r="C4570">
        <v>0</v>
      </c>
      <c r="D4570">
        <v>11</v>
      </c>
      <c r="E4570">
        <v>7</v>
      </c>
      <c r="F4570">
        <v>199</v>
      </c>
      <c r="G4570">
        <v>217</v>
      </c>
      <c r="H4570">
        <v>7</v>
      </c>
      <c r="I4570">
        <v>11</v>
      </c>
      <c r="J4570">
        <v>0.44289281552008197</v>
      </c>
      <c r="L4570">
        <v>-4.2189279148628502E-2</v>
      </c>
      <c r="M4570">
        <v>1</v>
      </c>
      <c r="O4570">
        <v>-4.2189279148628502E-2</v>
      </c>
    </row>
    <row r="4571" spans="1:15" hidden="1" x14ac:dyDescent="0.3">
      <c r="A4571" t="s">
        <v>125</v>
      </c>
      <c r="B4571" t="s">
        <v>221</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125</v>
      </c>
      <c r="B4572" t="s">
        <v>322</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125</v>
      </c>
      <c r="B4573" t="s">
        <v>303</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125</v>
      </c>
      <c r="B4574" t="s">
        <v>302</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125</v>
      </c>
      <c r="B4575" t="s">
        <v>147</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125</v>
      </c>
      <c r="B4576" t="s">
        <v>284</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125</v>
      </c>
      <c r="B4577" t="s">
        <v>299</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125</v>
      </c>
      <c r="B4578" t="s">
        <v>301</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125</v>
      </c>
      <c r="B4579" t="s">
        <v>268</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125</v>
      </c>
      <c r="B4580" t="s">
        <v>290</v>
      </c>
      <c r="C4580">
        <v>0</v>
      </c>
      <c r="D4580">
        <v>1</v>
      </c>
      <c r="E4580">
        <v>7</v>
      </c>
      <c r="F4580">
        <v>209</v>
      </c>
      <c r="G4580">
        <v>217</v>
      </c>
      <c r="H4580">
        <v>7</v>
      </c>
      <c r="I4580">
        <v>1</v>
      </c>
      <c r="J4580">
        <v>0.16170349855334401</v>
      </c>
      <c r="L4580">
        <v>-1.24225998749988E-2</v>
      </c>
      <c r="M4580">
        <v>1</v>
      </c>
      <c r="O4580">
        <v>-1.24225998749988E-2</v>
      </c>
    </row>
    <row r="4581" spans="1:15" hidden="1" x14ac:dyDescent="0.3">
      <c r="A4581" t="s">
        <v>125</v>
      </c>
      <c r="B4581" t="s">
        <v>351</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125</v>
      </c>
      <c r="B4582" t="s">
        <v>337</v>
      </c>
      <c r="C4582">
        <v>0</v>
      </c>
      <c r="D4582">
        <v>3</v>
      </c>
      <c r="E4582">
        <v>7</v>
      </c>
      <c r="F4582">
        <v>207</v>
      </c>
      <c r="G4582">
        <v>217</v>
      </c>
      <c r="H4582">
        <v>7</v>
      </c>
      <c r="I4582">
        <v>3</v>
      </c>
      <c r="J4582">
        <v>0.26324881306978598</v>
      </c>
      <c r="L4582">
        <v>-2.1616885058355802E-2</v>
      </c>
      <c r="M4582">
        <v>1</v>
      </c>
      <c r="O4582">
        <v>-2.1616885058355802E-2</v>
      </c>
    </row>
    <row r="4583" spans="1:15" hidden="1" x14ac:dyDescent="0.3">
      <c r="A4583" t="s">
        <v>125</v>
      </c>
      <c r="B4583" t="s">
        <v>212</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125</v>
      </c>
      <c r="B4584" t="s">
        <v>250</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125</v>
      </c>
      <c r="B4585" t="s">
        <v>246</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125</v>
      </c>
      <c r="B4586" t="s">
        <v>347</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125</v>
      </c>
      <c r="B4587" t="s">
        <v>283</v>
      </c>
      <c r="C4587">
        <v>0</v>
      </c>
      <c r="D4587">
        <v>1</v>
      </c>
      <c r="E4587">
        <v>7</v>
      </c>
      <c r="F4587">
        <v>209</v>
      </c>
      <c r="G4587">
        <v>217</v>
      </c>
      <c r="H4587">
        <v>7</v>
      </c>
      <c r="I4587">
        <v>1</v>
      </c>
      <c r="J4587">
        <v>0.16170349855334401</v>
      </c>
      <c r="L4587">
        <v>-1.24225998749988E-2</v>
      </c>
      <c r="M4587">
        <v>1</v>
      </c>
      <c r="O4587">
        <v>-1.24225998749988E-2</v>
      </c>
    </row>
    <row r="4588" spans="1:15" hidden="1" x14ac:dyDescent="0.3">
      <c r="A4588" t="s">
        <v>125</v>
      </c>
      <c r="B4588" t="s">
        <v>219</v>
      </c>
      <c r="C4588">
        <v>0</v>
      </c>
      <c r="D4588">
        <v>4</v>
      </c>
      <c r="E4588">
        <v>7</v>
      </c>
      <c r="F4588">
        <v>206</v>
      </c>
      <c r="G4588">
        <v>217</v>
      </c>
      <c r="H4588">
        <v>7</v>
      </c>
      <c r="I4588">
        <v>4</v>
      </c>
      <c r="J4588">
        <v>0.29725897566229698</v>
      </c>
      <c r="L4588">
        <v>-2.50195541680267E-2</v>
      </c>
      <c r="M4588">
        <v>1</v>
      </c>
      <c r="O4588">
        <v>-2.50195541680267E-2</v>
      </c>
    </row>
    <row r="4589" spans="1:15" hidden="1" x14ac:dyDescent="0.3">
      <c r="A4589" t="s">
        <v>125</v>
      </c>
      <c r="B4589" t="s">
        <v>220</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125</v>
      </c>
      <c r="B4590" t="s">
        <v>201</v>
      </c>
      <c r="C4590">
        <v>0</v>
      </c>
      <c r="D4590">
        <v>4</v>
      </c>
      <c r="E4590">
        <v>7</v>
      </c>
      <c r="F4590">
        <v>206</v>
      </c>
      <c r="G4590">
        <v>217</v>
      </c>
      <c r="H4590">
        <v>7</v>
      </c>
      <c r="I4590">
        <v>4</v>
      </c>
      <c r="J4590">
        <v>0.29725897566229698</v>
      </c>
      <c r="L4590">
        <v>-2.50195541680267E-2</v>
      </c>
      <c r="M4590">
        <v>1</v>
      </c>
      <c r="O4590">
        <v>-2.50195541680267E-2</v>
      </c>
    </row>
    <row r="4591" spans="1:15" hidden="1" x14ac:dyDescent="0.3">
      <c r="A4591" t="s">
        <v>125</v>
      </c>
      <c r="B4591" t="s">
        <v>279</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125</v>
      </c>
      <c r="B4592" t="s">
        <v>321</v>
      </c>
      <c r="C4592">
        <v>0</v>
      </c>
      <c r="D4592">
        <v>1</v>
      </c>
      <c r="E4592">
        <v>7</v>
      </c>
      <c r="F4592">
        <v>209</v>
      </c>
      <c r="G4592">
        <v>217</v>
      </c>
      <c r="H4592">
        <v>7</v>
      </c>
      <c r="I4592">
        <v>1</v>
      </c>
      <c r="J4592">
        <v>0.16170349855334401</v>
      </c>
      <c r="L4592">
        <v>-1.24225998749988E-2</v>
      </c>
      <c r="M4592">
        <v>1</v>
      </c>
      <c r="O4592">
        <v>-1.24225998749988E-2</v>
      </c>
    </row>
    <row r="4593" spans="1:15" hidden="1" x14ac:dyDescent="0.3">
      <c r="A4593" t="s">
        <v>125</v>
      </c>
      <c r="B4593" t="s">
        <v>215</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125</v>
      </c>
      <c r="B4594" t="s">
        <v>341</v>
      </c>
      <c r="C4594">
        <v>0</v>
      </c>
      <c r="D4594">
        <v>1</v>
      </c>
      <c r="E4594">
        <v>7</v>
      </c>
      <c r="F4594">
        <v>209</v>
      </c>
      <c r="G4594">
        <v>217</v>
      </c>
      <c r="H4594">
        <v>7</v>
      </c>
      <c r="I4594">
        <v>1</v>
      </c>
      <c r="J4594">
        <v>0.16170349855334401</v>
      </c>
      <c r="L4594">
        <v>-1.24225998749988E-2</v>
      </c>
      <c r="M4594">
        <v>1</v>
      </c>
      <c r="O4594">
        <v>-1.24225998749988E-2</v>
      </c>
    </row>
    <row r="4595" spans="1:15" hidden="1" x14ac:dyDescent="0.3">
      <c r="A4595" t="s">
        <v>125</v>
      </c>
      <c r="B4595" t="s">
        <v>214</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125</v>
      </c>
      <c r="B4596" t="s">
        <v>168</v>
      </c>
      <c r="C4596">
        <v>0</v>
      </c>
      <c r="D4596">
        <v>5</v>
      </c>
      <c r="E4596">
        <v>7</v>
      </c>
      <c r="F4596">
        <v>205</v>
      </c>
      <c r="G4596">
        <v>217</v>
      </c>
      <c r="H4596">
        <v>7</v>
      </c>
      <c r="I4596">
        <v>5</v>
      </c>
      <c r="J4596">
        <v>0.32591921680073999</v>
      </c>
      <c r="L4596">
        <v>-2.80386077046022E-2</v>
      </c>
      <c r="M4596">
        <v>1</v>
      </c>
      <c r="O4596">
        <v>-2.80386077046022E-2</v>
      </c>
    </row>
    <row r="4597" spans="1:15" hidden="1" x14ac:dyDescent="0.3">
      <c r="A4597" t="s">
        <v>125</v>
      </c>
      <c r="B4597" t="s">
        <v>352</v>
      </c>
      <c r="C4597">
        <v>0</v>
      </c>
      <c r="D4597">
        <v>1</v>
      </c>
      <c r="E4597">
        <v>7</v>
      </c>
      <c r="F4597">
        <v>209</v>
      </c>
      <c r="G4597">
        <v>217</v>
      </c>
      <c r="H4597">
        <v>7</v>
      </c>
      <c r="I4597">
        <v>1</v>
      </c>
      <c r="J4597">
        <v>0.16170349855334401</v>
      </c>
      <c r="L4597">
        <v>-1.24225998749988E-2</v>
      </c>
      <c r="M4597">
        <v>1</v>
      </c>
      <c r="O4597">
        <v>-1.24225998749988E-2</v>
      </c>
    </row>
    <row r="4598" spans="1:15" x14ac:dyDescent="0.3">
      <c r="A4598" t="s">
        <v>125</v>
      </c>
      <c r="B4598" t="s">
        <v>169</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125</v>
      </c>
      <c r="B4599" t="s">
        <v>340</v>
      </c>
      <c r="C4599">
        <v>0</v>
      </c>
      <c r="D4599">
        <v>1</v>
      </c>
      <c r="E4599">
        <v>7</v>
      </c>
      <c r="F4599">
        <v>209</v>
      </c>
      <c r="G4599">
        <v>217</v>
      </c>
      <c r="H4599">
        <v>7</v>
      </c>
      <c r="I4599">
        <v>1</v>
      </c>
      <c r="J4599">
        <v>0.16170349855334401</v>
      </c>
      <c r="L4599">
        <v>-1.24225998749988E-2</v>
      </c>
      <c r="M4599">
        <v>1</v>
      </c>
      <c r="O4599">
        <v>-1.24225998749988E-2</v>
      </c>
    </row>
    <row r="4600" spans="1:15" hidden="1" x14ac:dyDescent="0.3">
      <c r="A4600" t="s">
        <v>125</v>
      </c>
      <c r="B4600" t="s">
        <v>190</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125</v>
      </c>
      <c r="B4601" t="s">
        <v>346</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125</v>
      </c>
      <c r="B4602" t="s">
        <v>309</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125</v>
      </c>
      <c r="B4603" t="s">
        <v>173</v>
      </c>
      <c r="C4603">
        <v>0</v>
      </c>
      <c r="D4603">
        <v>2</v>
      </c>
      <c r="E4603">
        <v>7</v>
      </c>
      <c r="F4603">
        <v>208</v>
      </c>
      <c r="G4603">
        <v>217</v>
      </c>
      <c r="H4603">
        <v>7</v>
      </c>
      <c r="I4603">
        <v>2</v>
      </c>
      <c r="J4603">
        <v>0.22076594753891099</v>
      </c>
      <c r="L4603">
        <v>-1.7609018126512398E-2</v>
      </c>
      <c r="M4603">
        <v>1</v>
      </c>
      <c r="O4603">
        <v>-1.7609018126512398E-2</v>
      </c>
    </row>
    <row r="4604" spans="1:15" hidden="1" x14ac:dyDescent="0.3">
      <c r="A4604" t="s">
        <v>125</v>
      </c>
      <c r="B4604" t="s">
        <v>217</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125</v>
      </c>
      <c r="B4605" t="s">
        <v>348</v>
      </c>
      <c r="C4605">
        <v>0</v>
      </c>
      <c r="D4605">
        <v>1</v>
      </c>
      <c r="E4605">
        <v>7</v>
      </c>
      <c r="F4605">
        <v>209</v>
      </c>
      <c r="G4605">
        <v>217</v>
      </c>
      <c r="H4605">
        <v>7</v>
      </c>
      <c r="I4605">
        <v>1</v>
      </c>
      <c r="J4605">
        <v>0.16170349855334401</v>
      </c>
      <c r="L4605">
        <v>-1.24225998749988E-2</v>
      </c>
      <c r="M4605">
        <v>1</v>
      </c>
      <c r="O4605">
        <v>-1.24225998749988E-2</v>
      </c>
    </row>
    <row r="4606" spans="1:15" hidden="1" x14ac:dyDescent="0.3">
      <c r="A4606" t="s">
        <v>125</v>
      </c>
      <c r="B4606" t="s">
        <v>222</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125</v>
      </c>
      <c r="B4607" t="s">
        <v>269</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125</v>
      </c>
      <c r="B4608" t="s">
        <v>349</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125</v>
      </c>
      <c r="B4609" t="s">
        <v>274</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125</v>
      </c>
      <c r="B4610" t="s">
        <v>316</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125</v>
      </c>
      <c r="B4611" t="s">
        <v>350</v>
      </c>
      <c r="C4611">
        <v>0</v>
      </c>
      <c r="D4611">
        <v>1</v>
      </c>
      <c r="E4611">
        <v>7</v>
      </c>
      <c r="F4611">
        <v>209</v>
      </c>
      <c r="G4611">
        <v>217</v>
      </c>
      <c r="H4611">
        <v>7</v>
      </c>
      <c r="I4611">
        <v>1</v>
      </c>
      <c r="J4611">
        <v>0.16170349855334401</v>
      </c>
      <c r="L4611">
        <v>-1.24225998749988E-2</v>
      </c>
      <c r="M4611">
        <v>1</v>
      </c>
      <c r="O4611">
        <v>-1.24225998749988E-2</v>
      </c>
    </row>
    <row r="4612" spans="1:15" hidden="1" x14ac:dyDescent="0.3">
      <c r="A4612" t="s">
        <v>125</v>
      </c>
      <c r="B4612" t="s">
        <v>218</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125</v>
      </c>
      <c r="B4613" t="s">
        <v>261</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125</v>
      </c>
      <c r="B4614" t="s">
        <v>277</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125</v>
      </c>
      <c r="B4615" t="s">
        <v>251</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125</v>
      </c>
      <c r="B4616" t="s">
        <v>259</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125</v>
      </c>
      <c r="B4617" t="s">
        <v>329</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125</v>
      </c>
      <c r="B4618" t="s">
        <v>360</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125</v>
      </c>
      <c r="B4619" t="s">
        <v>358</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125</v>
      </c>
      <c r="B4620" t="s">
        <v>312</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125</v>
      </c>
      <c r="B4621" t="s">
        <v>361</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125</v>
      </c>
      <c r="B4622" t="s">
        <v>306</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125</v>
      </c>
      <c r="B4623" t="s">
        <v>345</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125</v>
      </c>
      <c r="B4624" t="s">
        <v>338</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125</v>
      </c>
      <c r="B4625" t="s">
        <v>267</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125</v>
      </c>
      <c r="B4626" t="s">
        <v>328</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125</v>
      </c>
      <c r="B4627" t="s">
        <v>293</v>
      </c>
      <c r="C4627">
        <v>0</v>
      </c>
      <c r="D4627">
        <v>2</v>
      </c>
      <c r="E4627">
        <v>7</v>
      </c>
      <c r="F4627">
        <v>208</v>
      </c>
      <c r="G4627">
        <v>217</v>
      </c>
      <c r="H4627">
        <v>7</v>
      </c>
      <c r="I4627">
        <v>2</v>
      </c>
      <c r="J4627">
        <v>0.22076594753891099</v>
      </c>
      <c r="L4627">
        <v>-1.7609018126512398E-2</v>
      </c>
      <c r="M4627">
        <v>1</v>
      </c>
      <c r="O4627">
        <v>-1.7609018126512398E-2</v>
      </c>
    </row>
    <row r="4628" spans="1:15" hidden="1" x14ac:dyDescent="0.3">
      <c r="A4628" t="s">
        <v>125</v>
      </c>
      <c r="B4628" t="s">
        <v>216</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125</v>
      </c>
      <c r="B4629" t="s">
        <v>297</v>
      </c>
      <c r="C4629">
        <v>0</v>
      </c>
      <c r="D4629">
        <v>1</v>
      </c>
      <c r="E4629">
        <v>7</v>
      </c>
      <c r="F4629">
        <v>209</v>
      </c>
      <c r="G4629">
        <v>217</v>
      </c>
      <c r="H4629">
        <v>7</v>
      </c>
      <c r="I4629">
        <v>1</v>
      </c>
      <c r="J4629">
        <v>0.16170349855334401</v>
      </c>
      <c r="L4629">
        <v>-1.24225998749988E-2</v>
      </c>
      <c r="M4629">
        <v>1</v>
      </c>
      <c r="O4629">
        <v>-1.24225998749988E-2</v>
      </c>
    </row>
    <row r="4630" spans="1:15" hidden="1" x14ac:dyDescent="0.3">
      <c r="A4630" t="s">
        <v>125</v>
      </c>
      <c r="B4630" t="s">
        <v>264</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125</v>
      </c>
      <c r="B4631" t="s">
        <v>359</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125</v>
      </c>
      <c r="B4632" t="s">
        <v>313</v>
      </c>
      <c r="C4632">
        <v>0</v>
      </c>
      <c r="D4632">
        <v>1</v>
      </c>
      <c r="E4632">
        <v>7</v>
      </c>
      <c r="F4632">
        <v>209</v>
      </c>
      <c r="G4632">
        <v>217</v>
      </c>
      <c r="H4632">
        <v>7</v>
      </c>
      <c r="I4632">
        <v>1</v>
      </c>
      <c r="J4632">
        <v>0.16170349855334401</v>
      </c>
      <c r="L4632">
        <v>-1.24225998749988E-2</v>
      </c>
      <c r="M4632">
        <v>1</v>
      </c>
      <c r="O4632">
        <v>-1.24225998749988E-2</v>
      </c>
    </row>
    <row r="4633" spans="1:15" hidden="1" x14ac:dyDescent="0.3">
      <c r="A4633" t="s">
        <v>125</v>
      </c>
      <c r="B4633" t="s">
        <v>331</v>
      </c>
      <c r="C4633">
        <v>0</v>
      </c>
      <c r="D4633">
        <v>2</v>
      </c>
      <c r="E4633">
        <v>7</v>
      </c>
      <c r="F4633">
        <v>208</v>
      </c>
      <c r="G4633">
        <v>217</v>
      </c>
      <c r="H4633">
        <v>7</v>
      </c>
      <c r="I4633">
        <v>2</v>
      </c>
      <c r="J4633">
        <v>0.22076594753891099</v>
      </c>
      <c r="L4633">
        <v>-1.7609018126512398E-2</v>
      </c>
      <c r="M4633">
        <v>1</v>
      </c>
      <c r="O4633">
        <v>-1.7609018126512398E-2</v>
      </c>
    </row>
    <row r="4634" spans="1:15" hidden="1" x14ac:dyDescent="0.3">
      <c r="A4634" t="s">
        <v>125</v>
      </c>
      <c r="B4634" t="s">
        <v>285</v>
      </c>
      <c r="C4634">
        <v>0</v>
      </c>
      <c r="D4634">
        <v>1</v>
      </c>
      <c r="E4634">
        <v>7</v>
      </c>
      <c r="F4634">
        <v>209</v>
      </c>
      <c r="G4634">
        <v>217</v>
      </c>
      <c r="H4634">
        <v>7</v>
      </c>
      <c r="I4634">
        <v>1</v>
      </c>
      <c r="J4634">
        <v>0.16170349855334401</v>
      </c>
      <c r="L4634">
        <v>-1.24225998749988E-2</v>
      </c>
      <c r="M4634">
        <v>1</v>
      </c>
      <c r="O4634">
        <v>-1.24225998749988E-2</v>
      </c>
    </row>
    <row r="4635" spans="1:15" x14ac:dyDescent="0.3">
      <c r="A4635" t="s">
        <v>125</v>
      </c>
      <c r="B4635" t="s">
        <v>152</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125</v>
      </c>
      <c r="B4636" t="s">
        <v>311</v>
      </c>
      <c r="C4636">
        <v>0</v>
      </c>
      <c r="D4636">
        <v>1</v>
      </c>
      <c r="E4636">
        <v>7</v>
      </c>
      <c r="F4636">
        <v>209</v>
      </c>
      <c r="G4636">
        <v>217</v>
      </c>
      <c r="H4636">
        <v>7</v>
      </c>
      <c r="I4636">
        <v>1</v>
      </c>
      <c r="J4636">
        <v>0.16170349855334401</v>
      </c>
      <c r="L4636">
        <v>-1.24225998749988E-2</v>
      </c>
      <c r="M4636">
        <v>1</v>
      </c>
      <c r="O4636">
        <v>-1.24225998749988E-2</v>
      </c>
    </row>
    <row r="4637" spans="1:15" hidden="1" x14ac:dyDescent="0.3">
      <c r="A4637" t="s">
        <v>125</v>
      </c>
      <c r="B4637" t="s">
        <v>213</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125</v>
      </c>
      <c r="B4638" t="s">
        <v>330</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125</v>
      </c>
      <c r="B4639" t="s">
        <v>252</v>
      </c>
      <c r="C4639">
        <v>0</v>
      </c>
      <c r="D4639">
        <v>3</v>
      </c>
      <c r="E4639">
        <v>7</v>
      </c>
      <c r="F4639">
        <v>207</v>
      </c>
      <c r="G4639">
        <v>217</v>
      </c>
      <c r="H4639">
        <v>7</v>
      </c>
      <c r="I4639">
        <v>3</v>
      </c>
      <c r="J4639">
        <v>0.26324881306978598</v>
      </c>
      <c r="L4639">
        <v>-2.1616885058355802E-2</v>
      </c>
      <c r="M4639">
        <v>1</v>
      </c>
      <c r="O4639">
        <v>-2.1616885058355802E-2</v>
      </c>
    </row>
    <row r="4640" spans="1:15" x14ac:dyDescent="0.3">
      <c r="A4640" t="s">
        <v>125</v>
      </c>
      <c r="B4640" t="s">
        <v>170</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125</v>
      </c>
      <c r="B4641" t="s">
        <v>324</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125</v>
      </c>
      <c r="B4642" t="s">
        <v>278</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125</v>
      </c>
      <c r="B4643" t="s">
        <v>292</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125</v>
      </c>
      <c r="B4644" t="s">
        <v>323</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125</v>
      </c>
      <c r="B4645" t="s">
        <v>326</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125</v>
      </c>
      <c r="B4646" t="s">
        <v>325</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125</v>
      </c>
      <c r="B4647" t="s">
        <v>256</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125</v>
      </c>
      <c r="B4648" t="s">
        <v>327</v>
      </c>
      <c r="C4648">
        <v>0</v>
      </c>
      <c r="D4648">
        <v>1</v>
      </c>
      <c r="E4648">
        <v>7</v>
      </c>
      <c r="F4648">
        <v>209</v>
      </c>
      <c r="G4648">
        <v>217</v>
      </c>
      <c r="H4648">
        <v>7</v>
      </c>
      <c r="I4648">
        <v>1</v>
      </c>
      <c r="J4648">
        <v>0.16170349855334401</v>
      </c>
      <c r="L4648">
        <v>-1.24225998749988E-2</v>
      </c>
      <c r="M4648">
        <v>1</v>
      </c>
      <c r="O4648">
        <v>-1.24225998749988E-2</v>
      </c>
    </row>
    <row r="4649" spans="1:15" x14ac:dyDescent="0.3">
      <c r="A4649" t="s">
        <v>125</v>
      </c>
      <c r="B4649" t="s">
        <v>174</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125</v>
      </c>
      <c r="B4650" t="s">
        <v>260</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125</v>
      </c>
      <c r="B4651" t="s">
        <v>280</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125</v>
      </c>
      <c r="B4652" t="s">
        <v>318</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125</v>
      </c>
      <c r="B4653" t="s">
        <v>244</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125</v>
      </c>
      <c r="B4654" t="s">
        <v>336</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125</v>
      </c>
      <c r="B4655" t="s">
        <v>304</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125</v>
      </c>
      <c r="B4656" t="s">
        <v>270</v>
      </c>
      <c r="C4656">
        <v>0</v>
      </c>
      <c r="D4656">
        <v>3</v>
      </c>
      <c r="E4656">
        <v>7</v>
      </c>
      <c r="F4656">
        <v>207</v>
      </c>
      <c r="G4656">
        <v>217</v>
      </c>
      <c r="H4656">
        <v>7</v>
      </c>
      <c r="I4656">
        <v>3</v>
      </c>
      <c r="J4656">
        <v>0.26324881306978598</v>
      </c>
      <c r="L4656">
        <v>-2.1616885058355802E-2</v>
      </c>
      <c r="M4656">
        <v>1</v>
      </c>
      <c r="O4656">
        <v>-2.1616885058355802E-2</v>
      </c>
    </row>
    <row r="4657" spans="1:15" x14ac:dyDescent="0.3">
      <c r="A4657" t="s">
        <v>125</v>
      </c>
      <c r="B4657" t="s">
        <v>257</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125</v>
      </c>
      <c r="B4658" t="s">
        <v>307</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125</v>
      </c>
      <c r="B4659" t="s">
        <v>286</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125</v>
      </c>
      <c r="B4660" t="s">
        <v>198</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125</v>
      </c>
      <c r="B4661" t="s">
        <v>289</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125</v>
      </c>
      <c r="B4662" t="s">
        <v>282</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125</v>
      </c>
      <c r="B4663" t="s">
        <v>291</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127</v>
      </c>
      <c r="B4664" t="s">
        <v>3</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127</v>
      </c>
      <c r="B4665" t="s">
        <v>1</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127</v>
      </c>
      <c r="B4666" t="s">
        <v>314</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127</v>
      </c>
      <c r="B4667" t="s">
        <v>357</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127</v>
      </c>
      <c r="B4668" t="s">
        <v>356</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127</v>
      </c>
      <c r="B4669" t="s">
        <v>273</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127</v>
      </c>
      <c r="B4670" t="s">
        <v>242</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127</v>
      </c>
      <c r="B4671" t="s">
        <v>332</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127</v>
      </c>
      <c r="B4672" t="s">
        <v>355</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127</v>
      </c>
      <c r="B4673" t="s">
        <v>335</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127</v>
      </c>
      <c r="B4674" t="s">
        <v>266</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127</v>
      </c>
      <c r="B4675" t="s">
        <v>272</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127</v>
      </c>
      <c r="B4676" t="s">
        <v>310</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127</v>
      </c>
      <c r="B4677" t="s">
        <v>317</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127</v>
      </c>
      <c r="B4678" t="s">
        <v>9</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127</v>
      </c>
      <c r="B4679" t="s">
        <v>362</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127</v>
      </c>
      <c r="B4680" t="s">
        <v>354</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127</v>
      </c>
      <c r="B4681" t="s">
        <v>353</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127</v>
      </c>
      <c r="B4682" t="s">
        <v>363</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127</v>
      </c>
      <c r="B4683" t="s">
        <v>305</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127</v>
      </c>
      <c r="B4684" t="s">
        <v>339</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127</v>
      </c>
      <c r="B4685" t="s">
        <v>248</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127</v>
      </c>
      <c r="B4686" t="s">
        <v>342</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127</v>
      </c>
      <c r="B4687" t="s">
        <v>315</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127</v>
      </c>
      <c r="B4688" t="s">
        <v>247</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127</v>
      </c>
      <c r="B4689" t="s">
        <v>241</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127</v>
      </c>
      <c r="B4690" t="s">
        <v>334</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127</v>
      </c>
      <c r="B4691" t="s">
        <v>300</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127</v>
      </c>
      <c r="B4692" t="s">
        <v>265</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127</v>
      </c>
      <c r="B4693" t="s">
        <v>271</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127</v>
      </c>
      <c r="B4694" t="s">
        <v>255</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127</v>
      </c>
      <c r="B4695" t="s">
        <v>249</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127</v>
      </c>
      <c r="B4696" t="s">
        <v>308</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127</v>
      </c>
      <c r="B4697" t="s">
        <v>319</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127</v>
      </c>
      <c r="B4698" t="s">
        <v>245</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127</v>
      </c>
      <c r="B4699" t="s">
        <v>240</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127</v>
      </c>
      <c r="B4700" t="s">
        <v>343</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127</v>
      </c>
      <c r="B4701" t="s">
        <v>258</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127</v>
      </c>
      <c r="B4702" t="s">
        <v>344</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127</v>
      </c>
      <c r="B4703" t="s">
        <v>276</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127</v>
      </c>
      <c r="B4704" t="s">
        <v>333</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127</v>
      </c>
      <c r="B4705" t="s">
        <v>263</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127</v>
      </c>
      <c r="B4706" t="s">
        <v>254</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127</v>
      </c>
      <c r="B4707" t="s">
        <v>320</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127</v>
      </c>
      <c r="B4708" t="s">
        <v>275</v>
      </c>
      <c r="C4708">
        <v>0</v>
      </c>
      <c r="D4708">
        <v>11</v>
      </c>
      <c r="E4708">
        <v>3</v>
      </c>
      <c r="F4708">
        <v>203</v>
      </c>
      <c r="G4708">
        <v>217</v>
      </c>
      <c r="H4708">
        <v>3</v>
      </c>
      <c r="I4708">
        <v>11</v>
      </c>
      <c r="J4708">
        <v>0.318167220875399</v>
      </c>
      <c r="L4708">
        <v>-2.73600239415237E-2</v>
      </c>
      <c r="M4708">
        <v>1</v>
      </c>
      <c r="O4708">
        <v>-2.73600239415237E-2</v>
      </c>
    </row>
    <row r="4709" spans="1:15" hidden="1" x14ac:dyDescent="0.3">
      <c r="A4709" t="s">
        <v>127</v>
      </c>
      <c r="B4709" t="s">
        <v>221</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127</v>
      </c>
      <c r="B4710" t="s">
        <v>322</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127</v>
      </c>
      <c r="B4711" t="s">
        <v>303</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127</v>
      </c>
      <c r="B4712" t="s">
        <v>302</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127</v>
      </c>
      <c r="B4713" t="s">
        <v>147</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127</v>
      </c>
      <c r="B4714" t="s">
        <v>284</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127</v>
      </c>
      <c r="B4715" t="s">
        <v>299</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127</v>
      </c>
      <c r="B4716" t="s">
        <v>301</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127</v>
      </c>
      <c r="B4717" t="s">
        <v>268</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127</v>
      </c>
      <c r="B4718" t="s">
        <v>290</v>
      </c>
      <c r="C4718">
        <v>0</v>
      </c>
      <c r="D4718">
        <v>1</v>
      </c>
      <c r="E4718">
        <v>3</v>
      </c>
      <c r="F4718">
        <v>213</v>
      </c>
      <c r="G4718">
        <v>217</v>
      </c>
      <c r="H4718">
        <v>3</v>
      </c>
      <c r="I4718">
        <v>1</v>
      </c>
      <c r="J4718">
        <v>0.109052747711589</v>
      </c>
      <c r="L4718">
        <v>-8.0561374087138593E-3</v>
      </c>
      <c r="M4718">
        <v>1</v>
      </c>
      <c r="O4718">
        <v>-8.0561374087138593E-3</v>
      </c>
    </row>
    <row r="4719" spans="1:15" hidden="1" x14ac:dyDescent="0.3">
      <c r="A4719" t="s">
        <v>127</v>
      </c>
      <c r="B4719" t="s">
        <v>351</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127</v>
      </c>
      <c r="B4720" t="s">
        <v>337</v>
      </c>
      <c r="C4720">
        <v>0</v>
      </c>
      <c r="D4720">
        <v>3</v>
      </c>
      <c r="E4720">
        <v>3</v>
      </c>
      <c r="F4720">
        <v>211</v>
      </c>
      <c r="G4720">
        <v>217</v>
      </c>
      <c r="H4720">
        <v>3</v>
      </c>
      <c r="I4720">
        <v>3</v>
      </c>
      <c r="J4720">
        <v>0.18126924692201801</v>
      </c>
      <c r="L4720">
        <v>-1.4018691588785E-2</v>
      </c>
      <c r="M4720">
        <v>1</v>
      </c>
      <c r="O4720">
        <v>-1.4018691588785E-2</v>
      </c>
    </row>
    <row r="4721" spans="1:15" hidden="1" x14ac:dyDescent="0.3">
      <c r="A4721" t="s">
        <v>127</v>
      </c>
      <c r="B4721" t="s">
        <v>212</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127</v>
      </c>
      <c r="B4722" t="s">
        <v>250</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127</v>
      </c>
      <c r="B4723" t="s">
        <v>246</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127</v>
      </c>
      <c r="B4724" t="s">
        <v>347</v>
      </c>
      <c r="C4724">
        <v>0</v>
      </c>
      <c r="D4724">
        <v>1</v>
      </c>
      <c r="E4724">
        <v>3</v>
      </c>
      <c r="F4724">
        <v>213</v>
      </c>
      <c r="G4724">
        <v>217</v>
      </c>
      <c r="H4724">
        <v>3</v>
      </c>
      <c r="I4724">
        <v>1</v>
      </c>
      <c r="J4724">
        <v>0.109052747711589</v>
      </c>
      <c r="L4724">
        <v>-8.0561374087138593E-3</v>
      </c>
      <c r="M4724">
        <v>1</v>
      </c>
      <c r="O4724">
        <v>-8.0561374087138593E-3</v>
      </c>
    </row>
    <row r="4725" spans="1:15" hidden="1" x14ac:dyDescent="0.3">
      <c r="A4725" t="s">
        <v>127</v>
      </c>
      <c r="B4725" t="s">
        <v>153</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127</v>
      </c>
      <c r="B4726" t="s">
        <v>5</v>
      </c>
      <c r="C4726">
        <v>0</v>
      </c>
      <c r="D4726">
        <v>3</v>
      </c>
      <c r="E4726">
        <v>3</v>
      </c>
      <c r="F4726">
        <v>211</v>
      </c>
      <c r="G4726">
        <v>217</v>
      </c>
      <c r="H4726">
        <v>3</v>
      </c>
      <c r="I4726">
        <v>3</v>
      </c>
      <c r="J4726">
        <v>0.18126924692201801</v>
      </c>
      <c r="L4726">
        <v>-1.4018691588785E-2</v>
      </c>
      <c r="M4726">
        <v>1</v>
      </c>
      <c r="O4726">
        <v>-1.4018691588785E-2</v>
      </c>
    </row>
    <row r="4727" spans="1:15" hidden="1" x14ac:dyDescent="0.3">
      <c r="A4727" t="s">
        <v>127</v>
      </c>
      <c r="B4727" t="s">
        <v>219</v>
      </c>
      <c r="C4727">
        <v>0</v>
      </c>
      <c r="D4727">
        <v>4</v>
      </c>
      <c r="E4727">
        <v>3</v>
      </c>
      <c r="F4727">
        <v>210</v>
      </c>
      <c r="G4727">
        <v>217</v>
      </c>
      <c r="H4727">
        <v>3</v>
      </c>
      <c r="I4727">
        <v>4</v>
      </c>
      <c r="J4727">
        <v>0.206212993639731</v>
      </c>
      <c r="L4727">
        <v>-1.6225344799846199E-2</v>
      </c>
      <c r="M4727">
        <v>1</v>
      </c>
      <c r="O4727">
        <v>-1.6225344799846199E-2</v>
      </c>
    </row>
    <row r="4728" spans="1:15" hidden="1" x14ac:dyDescent="0.3">
      <c r="A4728" t="s">
        <v>127</v>
      </c>
      <c r="B4728" t="s">
        <v>220</v>
      </c>
      <c r="C4728">
        <v>0</v>
      </c>
      <c r="D4728">
        <v>5</v>
      </c>
      <c r="E4728">
        <v>3</v>
      </c>
      <c r="F4728">
        <v>209</v>
      </c>
      <c r="G4728">
        <v>217</v>
      </c>
      <c r="H4728">
        <v>3</v>
      </c>
      <c r="I4728">
        <v>5</v>
      </c>
      <c r="J4728">
        <v>0.22755841388363099</v>
      </c>
      <c r="L4728">
        <v>-1.8183220798401501E-2</v>
      </c>
      <c r="M4728">
        <v>1</v>
      </c>
      <c r="O4728">
        <v>-1.8183220798401501E-2</v>
      </c>
    </row>
    <row r="4729" spans="1:15" hidden="1" x14ac:dyDescent="0.3">
      <c r="A4729" t="s">
        <v>127</v>
      </c>
      <c r="B4729" t="s">
        <v>279</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127</v>
      </c>
      <c r="B4730" t="s">
        <v>262</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127</v>
      </c>
      <c r="B4731" t="s">
        <v>321</v>
      </c>
      <c r="C4731">
        <v>0</v>
      </c>
      <c r="D4731">
        <v>1</v>
      </c>
      <c r="E4731">
        <v>3</v>
      </c>
      <c r="F4731">
        <v>213</v>
      </c>
      <c r="G4731">
        <v>217</v>
      </c>
      <c r="H4731">
        <v>3</v>
      </c>
      <c r="I4731">
        <v>1</v>
      </c>
      <c r="J4731">
        <v>0.109052747711589</v>
      </c>
      <c r="L4731">
        <v>-8.0561374087138593E-3</v>
      </c>
      <c r="M4731">
        <v>1</v>
      </c>
      <c r="O4731">
        <v>-8.0561374087138593E-3</v>
      </c>
    </row>
    <row r="4732" spans="1:15" hidden="1" x14ac:dyDescent="0.3">
      <c r="A4732" t="s">
        <v>127</v>
      </c>
      <c r="B4732" t="s">
        <v>215</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127</v>
      </c>
      <c r="B4733" t="s">
        <v>341</v>
      </c>
      <c r="C4733">
        <v>0</v>
      </c>
      <c r="D4733">
        <v>1</v>
      </c>
      <c r="E4733">
        <v>3</v>
      </c>
      <c r="F4733">
        <v>213</v>
      </c>
      <c r="G4733">
        <v>217</v>
      </c>
      <c r="H4733">
        <v>3</v>
      </c>
      <c r="I4733">
        <v>1</v>
      </c>
      <c r="J4733">
        <v>0.109052747711589</v>
      </c>
      <c r="L4733">
        <v>-8.0561374087138593E-3</v>
      </c>
      <c r="M4733">
        <v>1</v>
      </c>
      <c r="O4733">
        <v>-8.0561374087138593E-3</v>
      </c>
    </row>
    <row r="4734" spans="1:15" hidden="1" x14ac:dyDescent="0.3">
      <c r="A4734" t="s">
        <v>127</v>
      </c>
      <c r="B4734" t="s">
        <v>214</v>
      </c>
      <c r="C4734">
        <v>0</v>
      </c>
      <c r="D4734">
        <v>3</v>
      </c>
      <c r="E4734">
        <v>3</v>
      </c>
      <c r="F4734">
        <v>211</v>
      </c>
      <c r="G4734">
        <v>217</v>
      </c>
      <c r="H4734">
        <v>3</v>
      </c>
      <c r="I4734">
        <v>3</v>
      </c>
      <c r="J4734">
        <v>0.18126924692201801</v>
      </c>
      <c r="L4734">
        <v>-1.4018691588785E-2</v>
      </c>
      <c r="M4734">
        <v>1</v>
      </c>
      <c r="O4734">
        <v>-1.4018691588785E-2</v>
      </c>
    </row>
    <row r="4735" spans="1:15" hidden="1" x14ac:dyDescent="0.3">
      <c r="A4735" t="s">
        <v>127</v>
      </c>
      <c r="B4735" t="s">
        <v>352</v>
      </c>
      <c r="C4735">
        <v>0</v>
      </c>
      <c r="D4735">
        <v>1</v>
      </c>
      <c r="E4735">
        <v>3</v>
      </c>
      <c r="F4735">
        <v>213</v>
      </c>
      <c r="G4735">
        <v>217</v>
      </c>
      <c r="H4735">
        <v>3</v>
      </c>
      <c r="I4735">
        <v>1</v>
      </c>
      <c r="J4735">
        <v>0.109052747711589</v>
      </c>
      <c r="L4735">
        <v>-8.0561374087138593E-3</v>
      </c>
      <c r="M4735">
        <v>1</v>
      </c>
      <c r="O4735">
        <v>-8.0561374087138593E-3</v>
      </c>
    </row>
    <row r="4736" spans="1:15" x14ac:dyDescent="0.3">
      <c r="A4736" t="s">
        <v>127</v>
      </c>
      <c r="B4736" t="s">
        <v>169</v>
      </c>
      <c r="C4736">
        <v>0</v>
      </c>
      <c r="D4736">
        <v>2</v>
      </c>
      <c r="E4736">
        <v>3</v>
      </c>
      <c r="F4736">
        <v>212</v>
      </c>
      <c r="G4736">
        <v>217</v>
      </c>
      <c r="H4736">
        <v>3</v>
      </c>
      <c r="I4736">
        <v>2</v>
      </c>
      <c r="J4736">
        <v>0.15066306992548201</v>
      </c>
      <c r="L4736">
        <v>-1.14195636249397E-2</v>
      </c>
      <c r="M4736">
        <v>1</v>
      </c>
      <c r="O4736">
        <v>-1.14195636249397E-2</v>
      </c>
    </row>
    <row r="4737" spans="1:15" x14ac:dyDescent="0.3">
      <c r="A4737" t="s">
        <v>127</v>
      </c>
      <c r="B4737" t="s">
        <v>175</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127</v>
      </c>
      <c r="B4738" t="s">
        <v>340</v>
      </c>
      <c r="C4738">
        <v>0</v>
      </c>
      <c r="D4738">
        <v>1</v>
      </c>
      <c r="E4738">
        <v>3</v>
      </c>
      <c r="F4738">
        <v>213</v>
      </c>
      <c r="G4738">
        <v>217</v>
      </c>
      <c r="H4738">
        <v>3</v>
      </c>
      <c r="I4738">
        <v>1</v>
      </c>
      <c r="J4738">
        <v>0.109052747711589</v>
      </c>
      <c r="L4738">
        <v>-8.0561374087138593E-3</v>
      </c>
      <c r="M4738">
        <v>1</v>
      </c>
      <c r="O4738">
        <v>-8.0561374087138593E-3</v>
      </c>
    </row>
    <row r="4739" spans="1:15" hidden="1" x14ac:dyDescent="0.3">
      <c r="A4739" t="s">
        <v>127</v>
      </c>
      <c r="B4739" t="s">
        <v>190</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127</v>
      </c>
      <c r="B4740" t="s">
        <v>346</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127</v>
      </c>
      <c r="B4741" t="s">
        <v>309</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127</v>
      </c>
      <c r="B4742" t="s">
        <v>148</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127</v>
      </c>
      <c r="B4743" t="s">
        <v>173</v>
      </c>
      <c r="C4743">
        <v>0</v>
      </c>
      <c r="D4743">
        <v>2</v>
      </c>
      <c r="E4743">
        <v>3</v>
      </c>
      <c r="F4743">
        <v>212</v>
      </c>
      <c r="G4743">
        <v>217</v>
      </c>
      <c r="H4743">
        <v>3</v>
      </c>
      <c r="I4743">
        <v>2</v>
      </c>
      <c r="J4743">
        <v>0.15066306992548201</v>
      </c>
      <c r="L4743">
        <v>-1.14195636249397E-2</v>
      </c>
      <c r="M4743">
        <v>1</v>
      </c>
      <c r="O4743">
        <v>-1.14195636249397E-2</v>
      </c>
    </row>
    <row r="4744" spans="1:15" hidden="1" x14ac:dyDescent="0.3">
      <c r="A4744" t="s">
        <v>127</v>
      </c>
      <c r="B4744" t="s">
        <v>217</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127</v>
      </c>
      <c r="B4745" t="s">
        <v>348</v>
      </c>
      <c r="C4745">
        <v>0</v>
      </c>
      <c r="D4745">
        <v>1</v>
      </c>
      <c r="E4745">
        <v>3</v>
      </c>
      <c r="F4745">
        <v>213</v>
      </c>
      <c r="G4745">
        <v>217</v>
      </c>
      <c r="H4745">
        <v>3</v>
      </c>
      <c r="I4745">
        <v>1</v>
      </c>
      <c r="J4745">
        <v>0.109052747711589</v>
      </c>
      <c r="L4745">
        <v>-8.0561374087138593E-3</v>
      </c>
      <c r="M4745">
        <v>1</v>
      </c>
      <c r="O4745">
        <v>-8.0561374087138593E-3</v>
      </c>
    </row>
    <row r="4746" spans="1:15" hidden="1" x14ac:dyDescent="0.3">
      <c r="A4746" t="s">
        <v>127</v>
      </c>
      <c r="B4746" t="s">
        <v>222</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127</v>
      </c>
      <c r="B4747" t="s">
        <v>269</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127</v>
      </c>
      <c r="B4748" t="s">
        <v>349</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127</v>
      </c>
      <c r="B4749" t="s">
        <v>274</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127</v>
      </c>
      <c r="B4750" t="s">
        <v>316</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127</v>
      </c>
      <c r="B4751" t="s">
        <v>350</v>
      </c>
      <c r="C4751">
        <v>0</v>
      </c>
      <c r="D4751">
        <v>1</v>
      </c>
      <c r="E4751">
        <v>3</v>
      </c>
      <c r="F4751">
        <v>213</v>
      </c>
      <c r="G4751">
        <v>217</v>
      </c>
      <c r="H4751">
        <v>3</v>
      </c>
      <c r="I4751">
        <v>1</v>
      </c>
      <c r="J4751">
        <v>0.109052747711589</v>
      </c>
      <c r="L4751">
        <v>-8.0561374087138593E-3</v>
      </c>
      <c r="M4751">
        <v>1</v>
      </c>
      <c r="O4751">
        <v>-8.0561374087138593E-3</v>
      </c>
    </row>
    <row r="4752" spans="1:15" hidden="1" x14ac:dyDescent="0.3">
      <c r="A4752" t="s">
        <v>127</v>
      </c>
      <c r="B4752" t="s">
        <v>218</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127</v>
      </c>
      <c r="B4753" t="s">
        <v>251</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127</v>
      </c>
      <c r="B4754" t="s">
        <v>259</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127</v>
      </c>
      <c r="B4755" t="s">
        <v>329</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127</v>
      </c>
      <c r="B4756" t="s">
        <v>360</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127</v>
      </c>
      <c r="B4757" t="s">
        <v>358</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127</v>
      </c>
      <c r="B4758" t="s">
        <v>312</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127</v>
      </c>
      <c r="B4759" t="s">
        <v>361</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127</v>
      </c>
      <c r="B4760" t="s">
        <v>288</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127</v>
      </c>
      <c r="B4761" t="s">
        <v>306</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127</v>
      </c>
      <c r="B4762" t="s">
        <v>345</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127</v>
      </c>
      <c r="B4763" t="s">
        <v>338</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127</v>
      </c>
      <c r="B4764" t="s">
        <v>267</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127</v>
      </c>
      <c r="B4765" t="s">
        <v>194</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127</v>
      </c>
      <c r="B4766" t="s">
        <v>328</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127</v>
      </c>
      <c r="B4767" t="s">
        <v>293</v>
      </c>
      <c r="C4767">
        <v>0</v>
      </c>
      <c r="D4767">
        <v>2</v>
      </c>
      <c r="E4767">
        <v>3</v>
      </c>
      <c r="F4767">
        <v>212</v>
      </c>
      <c r="G4767">
        <v>217</v>
      </c>
      <c r="H4767">
        <v>3</v>
      </c>
      <c r="I4767">
        <v>2</v>
      </c>
      <c r="J4767">
        <v>0.15066306992548201</v>
      </c>
      <c r="L4767">
        <v>-1.14195636249397E-2</v>
      </c>
      <c r="M4767">
        <v>1</v>
      </c>
      <c r="O4767">
        <v>-1.14195636249397E-2</v>
      </c>
    </row>
    <row r="4768" spans="1:15" hidden="1" x14ac:dyDescent="0.3">
      <c r="A4768" t="s">
        <v>127</v>
      </c>
      <c r="B4768" t="s">
        <v>216</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127</v>
      </c>
      <c r="B4769" t="s">
        <v>297</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127</v>
      </c>
      <c r="B4770" t="s">
        <v>359</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127</v>
      </c>
      <c r="B4771" t="s">
        <v>313</v>
      </c>
      <c r="C4771">
        <v>0</v>
      </c>
      <c r="D4771">
        <v>1</v>
      </c>
      <c r="E4771">
        <v>3</v>
      </c>
      <c r="F4771">
        <v>213</v>
      </c>
      <c r="G4771">
        <v>217</v>
      </c>
      <c r="H4771">
        <v>3</v>
      </c>
      <c r="I4771">
        <v>1</v>
      </c>
      <c r="J4771">
        <v>0.109052747711589</v>
      </c>
      <c r="L4771">
        <v>-8.0561374087138593E-3</v>
      </c>
      <c r="M4771">
        <v>1</v>
      </c>
      <c r="O4771">
        <v>-8.0561374087138593E-3</v>
      </c>
    </row>
    <row r="4772" spans="1:15" hidden="1" x14ac:dyDescent="0.3">
      <c r="A4772" t="s">
        <v>127</v>
      </c>
      <c r="B4772" t="s">
        <v>331</v>
      </c>
      <c r="C4772">
        <v>0</v>
      </c>
      <c r="D4772">
        <v>2</v>
      </c>
      <c r="E4772">
        <v>3</v>
      </c>
      <c r="F4772">
        <v>212</v>
      </c>
      <c r="G4772">
        <v>217</v>
      </c>
      <c r="H4772">
        <v>3</v>
      </c>
      <c r="I4772">
        <v>2</v>
      </c>
      <c r="J4772">
        <v>0.15066306992548201</v>
      </c>
      <c r="L4772">
        <v>-1.14195636249397E-2</v>
      </c>
      <c r="M4772">
        <v>1</v>
      </c>
      <c r="O4772">
        <v>-1.14195636249397E-2</v>
      </c>
    </row>
    <row r="4773" spans="1:15" hidden="1" x14ac:dyDescent="0.3">
      <c r="A4773" t="s">
        <v>127</v>
      </c>
      <c r="B4773" t="s">
        <v>285</v>
      </c>
      <c r="C4773">
        <v>0</v>
      </c>
      <c r="D4773">
        <v>1</v>
      </c>
      <c r="E4773">
        <v>3</v>
      </c>
      <c r="F4773">
        <v>213</v>
      </c>
      <c r="G4773">
        <v>217</v>
      </c>
      <c r="H4773">
        <v>3</v>
      </c>
      <c r="I4773">
        <v>1</v>
      </c>
      <c r="J4773">
        <v>0.109052747711589</v>
      </c>
      <c r="L4773">
        <v>-8.0561374087138593E-3</v>
      </c>
      <c r="M4773">
        <v>1</v>
      </c>
      <c r="O4773">
        <v>-8.0561374087138593E-3</v>
      </c>
    </row>
    <row r="4774" spans="1:15" x14ac:dyDescent="0.3">
      <c r="A4774" t="s">
        <v>127</v>
      </c>
      <c r="B4774" t="s">
        <v>152</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127</v>
      </c>
      <c r="B4775" t="s">
        <v>311</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127</v>
      </c>
      <c r="B4776" t="s">
        <v>330</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127</v>
      </c>
      <c r="B4777" t="s">
        <v>252</v>
      </c>
      <c r="C4777">
        <v>0</v>
      </c>
      <c r="D4777">
        <v>3</v>
      </c>
      <c r="E4777">
        <v>3</v>
      </c>
      <c r="F4777">
        <v>211</v>
      </c>
      <c r="G4777">
        <v>217</v>
      </c>
      <c r="H4777">
        <v>3</v>
      </c>
      <c r="I4777">
        <v>3</v>
      </c>
      <c r="J4777">
        <v>0.18126924692201801</v>
      </c>
      <c r="L4777">
        <v>-1.4018691588785E-2</v>
      </c>
      <c r="M4777">
        <v>1</v>
      </c>
      <c r="O4777">
        <v>-1.4018691588785E-2</v>
      </c>
    </row>
    <row r="4778" spans="1:15" x14ac:dyDescent="0.3">
      <c r="A4778" t="s">
        <v>127</v>
      </c>
      <c r="B4778" t="s">
        <v>170</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127</v>
      </c>
      <c r="B4779" t="s">
        <v>281</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127</v>
      </c>
      <c r="B4780" t="s">
        <v>324</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127</v>
      </c>
      <c r="B4781" t="s">
        <v>278</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127</v>
      </c>
      <c r="B4782" t="s">
        <v>172</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127</v>
      </c>
      <c r="B4783" t="s">
        <v>323</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127</v>
      </c>
      <c r="B4784" t="s">
        <v>326</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127</v>
      </c>
      <c r="B4785" t="s">
        <v>325</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127</v>
      </c>
      <c r="B4786" t="s">
        <v>256</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127</v>
      </c>
      <c r="B4787" t="s">
        <v>327</v>
      </c>
      <c r="C4787">
        <v>0</v>
      </c>
      <c r="D4787">
        <v>1</v>
      </c>
      <c r="E4787">
        <v>3</v>
      </c>
      <c r="F4787">
        <v>213</v>
      </c>
      <c r="G4787">
        <v>217</v>
      </c>
      <c r="H4787">
        <v>3</v>
      </c>
      <c r="I4787">
        <v>1</v>
      </c>
      <c r="J4787">
        <v>0.109052747711589</v>
      </c>
      <c r="L4787">
        <v>-8.0561374087138593E-3</v>
      </c>
      <c r="M4787">
        <v>1</v>
      </c>
      <c r="O4787">
        <v>-8.0561374087138593E-3</v>
      </c>
    </row>
    <row r="4788" spans="1:15" x14ac:dyDescent="0.3">
      <c r="A4788" t="s">
        <v>127</v>
      </c>
      <c r="B4788" t="s">
        <v>174</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127</v>
      </c>
      <c r="B4789" t="s">
        <v>280</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127</v>
      </c>
      <c r="B4790" t="s">
        <v>318</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127</v>
      </c>
      <c r="B4791" t="s">
        <v>244</v>
      </c>
      <c r="C4791">
        <v>3</v>
      </c>
      <c r="D4791">
        <v>8</v>
      </c>
      <c r="E4791">
        <v>0</v>
      </c>
      <c r="F4791">
        <v>206</v>
      </c>
      <c r="G4791">
        <v>217</v>
      </c>
      <c r="H4791">
        <v>3</v>
      </c>
      <c r="I4791">
        <v>11</v>
      </c>
      <c r="J4791">
        <v>0.318167220875399</v>
      </c>
      <c r="L4791">
        <v>0.51237863017762697</v>
      </c>
      <c r="M4791" s="9">
        <v>9.8238845425642094E-5</v>
      </c>
      <c r="O4791">
        <v>0.51237863017762697</v>
      </c>
    </row>
    <row r="4792" spans="1:15" hidden="1" x14ac:dyDescent="0.3">
      <c r="A4792" t="s">
        <v>127</v>
      </c>
      <c r="B4792" t="s">
        <v>336</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127</v>
      </c>
      <c r="B4793" t="s">
        <v>304</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127</v>
      </c>
      <c r="B4794" t="s">
        <v>270</v>
      </c>
      <c r="C4794">
        <v>0</v>
      </c>
      <c r="D4794">
        <v>3</v>
      </c>
      <c r="E4794">
        <v>3</v>
      </c>
      <c r="F4794">
        <v>211</v>
      </c>
      <c r="G4794">
        <v>217</v>
      </c>
      <c r="H4794">
        <v>3</v>
      </c>
      <c r="I4794">
        <v>3</v>
      </c>
      <c r="J4794">
        <v>0.18126924692201801</v>
      </c>
      <c r="L4794">
        <v>-1.4018691588785E-2</v>
      </c>
      <c r="M4794">
        <v>1</v>
      </c>
      <c r="O4794">
        <v>-1.4018691588785E-2</v>
      </c>
    </row>
    <row r="4795" spans="1:15" x14ac:dyDescent="0.3">
      <c r="A4795" t="s">
        <v>127</v>
      </c>
      <c r="B4795" t="s">
        <v>257</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127</v>
      </c>
      <c r="B4796" t="s">
        <v>307</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127</v>
      </c>
      <c r="B4797" t="s">
        <v>286</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127</v>
      </c>
      <c r="B4798" t="s">
        <v>198</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127</v>
      </c>
      <c r="B4799" t="s">
        <v>289</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127</v>
      </c>
      <c r="B4800" t="s">
        <v>282</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127</v>
      </c>
      <c r="B4801" t="s">
        <v>291</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129</v>
      </c>
      <c r="B4802" t="s">
        <v>3</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129</v>
      </c>
      <c r="B4803" t="s">
        <v>1</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129</v>
      </c>
      <c r="B4804" t="s">
        <v>314</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129</v>
      </c>
      <c r="B4805" t="s">
        <v>357</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129</v>
      </c>
      <c r="B4806" t="s">
        <v>356</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129</v>
      </c>
      <c r="B4807" t="s">
        <v>273</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129</v>
      </c>
      <c r="B4808" t="s">
        <v>242</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129</v>
      </c>
      <c r="B4809" t="s">
        <v>332</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129</v>
      </c>
      <c r="B4810" t="s">
        <v>355</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129</v>
      </c>
      <c r="B4811" t="s">
        <v>335</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129</v>
      </c>
      <c r="B4812" t="s">
        <v>266</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129</v>
      </c>
      <c r="B4813" t="s">
        <v>272</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129</v>
      </c>
      <c r="B4814" t="s">
        <v>310</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129</v>
      </c>
      <c r="B4815" t="s">
        <v>317</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129</v>
      </c>
      <c r="B4816" t="s">
        <v>9</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129</v>
      </c>
      <c r="B4817" t="s">
        <v>362</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129</v>
      </c>
      <c r="B4818" t="s">
        <v>354</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129</v>
      </c>
      <c r="B4819" t="s">
        <v>353</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129</v>
      </c>
      <c r="B4820" t="s">
        <v>363</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129</v>
      </c>
      <c r="B4821" t="s">
        <v>305</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129</v>
      </c>
      <c r="B4822" t="s">
        <v>339</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129</v>
      </c>
      <c r="B4823" t="s">
        <v>248</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129</v>
      </c>
      <c r="B4824" t="s">
        <v>342</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129</v>
      </c>
      <c r="B4825" t="s">
        <v>315</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129</v>
      </c>
      <c r="B4826" t="s">
        <v>247</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129</v>
      </c>
      <c r="B4827" t="s">
        <v>241</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129</v>
      </c>
      <c r="B4828" t="s">
        <v>334</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129</v>
      </c>
      <c r="B4829" t="s">
        <v>300</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129</v>
      </c>
      <c r="B4830" t="s">
        <v>265</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129</v>
      </c>
      <c r="B4831" t="s">
        <v>271</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129</v>
      </c>
      <c r="B4832" t="s">
        <v>255</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129</v>
      </c>
      <c r="B4833" t="s">
        <v>296</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129</v>
      </c>
      <c r="B4834" t="s">
        <v>249</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129</v>
      </c>
      <c r="B4835" t="s">
        <v>308</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129</v>
      </c>
      <c r="B4836" t="s">
        <v>319</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129</v>
      </c>
      <c r="B4837" t="s">
        <v>245</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129</v>
      </c>
      <c r="B4838" t="s">
        <v>240</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129</v>
      </c>
      <c r="B4839" t="s">
        <v>343</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129</v>
      </c>
      <c r="B4840" t="s">
        <v>258</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129</v>
      </c>
      <c r="B4841" t="s">
        <v>344</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129</v>
      </c>
      <c r="B4842" t="s">
        <v>276</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129</v>
      </c>
      <c r="B4843" t="s">
        <v>333</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129</v>
      </c>
      <c r="B4844" t="s">
        <v>263</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129</v>
      </c>
      <c r="B4845" t="s">
        <v>254</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129</v>
      </c>
      <c r="B4846" t="s">
        <v>320</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129</v>
      </c>
      <c r="B4847" t="s">
        <v>275</v>
      </c>
      <c r="C4847">
        <v>0</v>
      </c>
      <c r="D4847">
        <v>11</v>
      </c>
      <c r="E4847">
        <v>1</v>
      </c>
      <c r="F4847">
        <v>205</v>
      </c>
      <c r="G4847">
        <v>217</v>
      </c>
      <c r="H4847">
        <v>1</v>
      </c>
      <c r="I4847">
        <v>11</v>
      </c>
      <c r="J4847">
        <v>0.19837015644199599</v>
      </c>
      <c r="L4847">
        <v>-1.5723016016341299E-2</v>
      </c>
      <c r="M4847">
        <v>1</v>
      </c>
      <c r="O4847">
        <v>-1.5723016016341299E-2</v>
      </c>
    </row>
    <row r="4848" spans="1:15" hidden="1" x14ac:dyDescent="0.3">
      <c r="A4848" t="s">
        <v>129</v>
      </c>
      <c r="B4848" t="s">
        <v>221</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129</v>
      </c>
      <c r="B4849" t="s">
        <v>322</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129</v>
      </c>
      <c r="B4850" t="s">
        <v>303</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129</v>
      </c>
      <c r="B4851" t="s">
        <v>302</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129</v>
      </c>
      <c r="B4852" t="s">
        <v>147</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129</v>
      </c>
      <c r="B4853" t="s">
        <v>284</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129</v>
      </c>
      <c r="B4854" t="s">
        <v>299</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129</v>
      </c>
      <c r="B4855" t="s">
        <v>301</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129</v>
      </c>
      <c r="B4856" t="s">
        <v>268</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129</v>
      </c>
      <c r="B4857" t="s">
        <v>290</v>
      </c>
      <c r="C4857">
        <v>0</v>
      </c>
      <c r="D4857">
        <v>1</v>
      </c>
      <c r="E4857">
        <v>1</v>
      </c>
      <c r="F4857">
        <v>215</v>
      </c>
      <c r="G4857">
        <v>217</v>
      </c>
      <c r="H4857">
        <v>1</v>
      </c>
      <c r="I4857">
        <v>1</v>
      </c>
      <c r="J4857">
        <v>6.4493014968382195E-2</v>
      </c>
      <c r="L4857">
        <v>-4.6296296296296198E-3</v>
      </c>
      <c r="M4857">
        <v>1</v>
      </c>
      <c r="O4857">
        <v>-4.6296296296296198E-3</v>
      </c>
    </row>
    <row r="4858" spans="1:15" hidden="1" x14ac:dyDescent="0.3">
      <c r="A4858" t="s">
        <v>129</v>
      </c>
      <c r="B4858" t="s">
        <v>351</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129</v>
      </c>
      <c r="B4859" t="s">
        <v>337</v>
      </c>
      <c r="C4859">
        <v>0</v>
      </c>
      <c r="D4859">
        <v>3</v>
      </c>
      <c r="E4859">
        <v>1</v>
      </c>
      <c r="F4859">
        <v>213</v>
      </c>
      <c r="G4859">
        <v>217</v>
      </c>
      <c r="H4859">
        <v>1</v>
      </c>
      <c r="I4859">
        <v>3</v>
      </c>
      <c r="J4859">
        <v>0.109052747711589</v>
      </c>
      <c r="L4859">
        <v>-8.0561374087138593E-3</v>
      </c>
      <c r="M4859">
        <v>1</v>
      </c>
      <c r="O4859">
        <v>-8.0561374087138593E-3</v>
      </c>
    </row>
    <row r="4860" spans="1:15" hidden="1" x14ac:dyDescent="0.3">
      <c r="A4860" t="s">
        <v>129</v>
      </c>
      <c r="B4860" t="s">
        <v>212</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129</v>
      </c>
      <c r="B4861" t="s">
        <v>250</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129</v>
      </c>
      <c r="B4862" t="s">
        <v>246</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129</v>
      </c>
      <c r="B4863" t="s">
        <v>347</v>
      </c>
      <c r="C4863">
        <v>0</v>
      </c>
      <c r="D4863">
        <v>1</v>
      </c>
      <c r="E4863">
        <v>1</v>
      </c>
      <c r="F4863">
        <v>215</v>
      </c>
      <c r="G4863">
        <v>217</v>
      </c>
      <c r="H4863">
        <v>1</v>
      </c>
      <c r="I4863">
        <v>1</v>
      </c>
      <c r="J4863">
        <v>6.4493014968382195E-2</v>
      </c>
      <c r="L4863">
        <v>-4.6296296296296198E-3</v>
      </c>
      <c r="M4863">
        <v>1</v>
      </c>
      <c r="O4863">
        <v>-4.6296296296296198E-3</v>
      </c>
    </row>
    <row r="4864" spans="1:15" hidden="1" x14ac:dyDescent="0.3">
      <c r="A4864" t="s">
        <v>129</v>
      </c>
      <c r="B4864" t="s">
        <v>153</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129</v>
      </c>
      <c r="B4865" t="s">
        <v>283</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129</v>
      </c>
      <c r="B4866" t="s">
        <v>5</v>
      </c>
      <c r="C4866">
        <v>0</v>
      </c>
      <c r="D4866">
        <v>3</v>
      </c>
      <c r="E4866">
        <v>1</v>
      </c>
      <c r="F4866">
        <v>213</v>
      </c>
      <c r="G4866">
        <v>217</v>
      </c>
      <c r="H4866">
        <v>1</v>
      </c>
      <c r="I4866">
        <v>3</v>
      </c>
      <c r="J4866">
        <v>0.109052747711589</v>
      </c>
      <c r="L4866">
        <v>-8.0561374087138593E-3</v>
      </c>
      <c r="M4866">
        <v>1</v>
      </c>
      <c r="O4866">
        <v>-8.0561374087138593E-3</v>
      </c>
    </row>
    <row r="4867" spans="1:15" hidden="1" x14ac:dyDescent="0.3">
      <c r="A4867" t="s">
        <v>129</v>
      </c>
      <c r="B4867" t="s">
        <v>219</v>
      </c>
      <c r="C4867">
        <v>0</v>
      </c>
      <c r="D4867">
        <v>4</v>
      </c>
      <c r="E4867">
        <v>1</v>
      </c>
      <c r="F4867">
        <v>212</v>
      </c>
      <c r="G4867">
        <v>217</v>
      </c>
      <c r="H4867">
        <v>1</v>
      </c>
      <c r="I4867">
        <v>4</v>
      </c>
      <c r="J4867">
        <v>0.124826680957052</v>
      </c>
      <c r="L4867">
        <v>-9.3242373144076501E-3</v>
      </c>
      <c r="M4867">
        <v>1</v>
      </c>
      <c r="O4867">
        <v>-9.3242373144076501E-3</v>
      </c>
    </row>
    <row r="4868" spans="1:15" hidden="1" x14ac:dyDescent="0.3">
      <c r="A4868" t="s">
        <v>129</v>
      </c>
      <c r="B4868" t="s">
        <v>220</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129</v>
      </c>
      <c r="B4869" t="s">
        <v>201</v>
      </c>
      <c r="C4869">
        <v>0</v>
      </c>
      <c r="D4869">
        <v>4</v>
      </c>
      <c r="E4869">
        <v>1</v>
      </c>
      <c r="F4869">
        <v>212</v>
      </c>
      <c r="G4869">
        <v>217</v>
      </c>
      <c r="H4869">
        <v>1</v>
      </c>
      <c r="I4869">
        <v>4</v>
      </c>
      <c r="J4869">
        <v>0.124826680957052</v>
      </c>
      <c r="L4869">
        <v>-9.3242373144076501E-3</v>
      </c>
      <c r="M4869">
        <v>1</v>
      </c>
      <c r="O4869">
        <v>-9.3242373144076501E-3</v>
      </c>
    </row>
    <row r="4870" spans="1:15" hidden="1" x14ac:dyDescent="0.3">
      <c r="A4870" t="s">
        <v>129</v>
      </c>
      <c r="B4870" t="s">
        <v>279</v>
      </c>
      <c r="C4870">
        <v>1</v>
      </c>
      <c r="D4870">
        <v>0</v>
      </c>
      <c r="E4870">
        <v>0</v>
      </c>
      <c r="F4870">
        <v>216</v>
      </c>
      <c r="G4870">
        <v>217</v>
      </c>
      <c r="H4870">
        <v>1</v>
      </c>
      <c r="I4870">
        <v>1</v>
      </c>
      <c r="J4870">
        <v>6.4493014968382195E-2</v>
      </c>
      <c r="L4870">
        <v>1</v>
      </c>
      <c r="M4870">
        <v>4.60829493087557E-3</v>
      </c>
      <c r="O4870">
        <v>1</v>
      </c>
    </row>
    <row r="4871" spans="1:15" hidden="1" x14ac:dyDescent="0.3">
      <c r="A4871" t="s">
        <v>129</v>
      </c>
      <c r="B4871" t="s">
        <v>262</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129</v>
      </c>
      <c r="B4872" t="s">
        <v>321</v>
      </c>
      <c r="C4872">
        <v>0</v>
      </c>
      <c r="D4872">
        <v>1</v>
      </c>
      <c r="E4872">
        <v>1</v>
      </c>
      <c r="F4872">
        <v>215</v>
      </c>
      <c r="G4872">
        <v>217</v>
      </c>
      <c r="H4872">
        <v>1</v>
      </c>
      <c r="I4872">
        <v>1</v>
      </c>
      <c r="J4872">
        <v>6.4493014968382195E-2</v>
      </c>
      <c r="L4872">
        <v>-4.6296296296296198E-3</v>
      </c>
      <c r="M4872">
        <v>1</v>
      </c>
      <c r="O4872">
        <v>-4.6296296296296198E-3</v>
      </c>
    </row>
    <row r="4873" spans="1:15" hidden="1" x14ac:dyDescent="0.3">
      <c r="A4873" t="s">
        <v>129</v>
      </c>
      <c r="B4873" t="s">
        <v>215</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129</v>
      </c>
      <c r="B4874" t="s">
        <v>253</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129</v>
      </c>
      <c r="B4875" t="s">
        <v>341</v>
      </c>
      <c r="C4875">
        <v>0</v>
      </c>
      <c r="D4875">
        <v>1</v>
      </c>
      <c r="E4875">
        <v>1</v>
      </c>
      <c r="F4875">
        <v>215</v>
      </c>
      <c r="G4875">
        <v>217</v>
      </c>
      <c r="H4875">
        <v>1</v>
      </c>
      <c r="I4875">
        <v>1</v>
      </c>
      <c r="J4875">
        <v>6.4493014968382195E-2</v>
      </c>
      <c r="L4875">
        <v>-4.6296296296296198E-3</v>
      </c>
      <c r="M4875">
        <v>1</v>
      </c>
      <c r="O4875">
        <v>-4.6296296296296198E-3</v>
      </c>
    </row>
    <row r="4876" spans="1:15" hidden="1" x14ac:dyDescent="0.3">
      <c r="A4876" t="s">
        <v>129</v>
      </c>
      <c r="B4876" t="s">
        <v>214</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129</v>
      </c>
      <c r="B4877" t="s">
        <v>168</v>
      </c>
      <c r="C4877">
        <v>0</v>
      </c>
      <c r="D4877">
        <v>5</v>
      </c>
      <c r="E4877">
        <v>1</v>
      </c>
      <c r="F4877">
        <v>211</v>
      </c>
      <c r="G4877">
        <v>217</v>
      </c>
      <c r="H4877">
        <v>1</v>
      </c>
      <c r="I4877">
        <v>5</v>
      </c>
      <c r="J4877">
        <v>0.138492225345964</v>
      </c>
      <c r="L4877">
        <v>-1.0449372136989901E-2</v>
      </c>
      <c r="M4877">
        <v>1</v>
      </c>
      <c r="O4877">
        <v>-1.0449372136989901E-2</v>
      </c>
    </row>
    <row r="4878" spans="1:15" hidden="1" x14ac:dyDescent="0.3">
      <c r="A4878" t="s">
        <v>129</v>
      </c>
      <c r="B4878" t="s">
        <v>352</v>
      </c>
      <c r="C4878">
        <v>0</v>
      </c>
      <c r="D4878">
        <v>1</v>
      </c>
      <c r="E4878">
        <v>1</v>
      </c>
      <c r="F4878">
        <v>215</v>
      </c>
      <c r="G4878">
        <v>217</v>
      </c>
      <c r="H4878">
        <v>1</v>
      </c>
      <c r="I4878">
        <v>1</v>
      </c>
      <c r="J4878">
        <v>6.4493014968382195E-2</v>
      </c>
      <c r="L4878">
        <v>-4.6296296296296198E-3</v>
      </c>
      <c r="M4878">
        <v>1</v>
      </c>
      <c r="O4878">
        <v>-4.6296296296296198E-3</v>
      </c>
    </row>
    <row r="4879" spans="1:15" x14ac:dyDescent="0.3">
      <c r="A4879" t="s">
        <v>129</v>
      </c>
      <c r="B4879" t="s">
        <v>169</v>
      </c>
      <c r="C4879">
        <v>0</v>
      </c>
      <c r="D4879">
        <v>2</v>
      </c>
      <c r="E4879">
        <v>1</v>
      </c>
      <c r="F4879">
        <v>214</v>
      </c>
      <c r="G4879">
        <v>217</v>
      </c>
      <c r="H4879">
        <v>1</v>
      </c>
      <c r="I4879">
        <v>2</v>
      </c>
      <c r="J4879">
        <v>8.9972904061745101E-2</v>
      </c>
      <c r="L4879">
        <v>-6.5624935913179798E-3</v>
      </c>
      <c r="M4879">
        <v>1</v>
      </c>
      <c r="O4879">
        <v>-6.5624935913179798E-3</v>
      </c>
    </row>
    <row r="4880" spans="1:15" x14ac:dyDescent="0.3">
      <c r="A4880" t="s">
        <v>129</v>
      </c>
      <c r="B4880" t="s">
        <v>175</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129</v>
      </c>
      <c r="B4881" t="s">
        <v>340</v>
      </c>
      <c r="C4881">
        <v>0</v>
      </c>
      <c r="D4881">
        <v>1</v>
      </c>
      <c r="E4881">
        <v>1</v>
      </c>
      <c r="F4881">
        <v>215</v>
      </c>
      <c r="G4881">
        <v>217</v>
      </c>
      <c r="H4881">
        <v>1</v>
      </c>
      <c r="I4881">
        <v>1</v>
      </c>
      <c r="J4881">
        <v>6.4493014968382195E-2</v>
      </c>
      <c r="L4881">
        <v>-4.6296296296296198E-3</v>
      </c>
      <c r="M4881">
        <v>1</v>
      </c>
      <c r="O4881">
        <v>-4.6296296296296198E-3</v>
      </c>
    </row>
    <row r="4882" spans="1:15" hidden="1" x14ac:dyDescent="0.3">
      <c r="A4882" t="s">
        <v>129</v>
      </c>
      <c r="B4882" t="s">
        <v>190</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129</v>
      </c>
      <c r="B4883" t="s">
        <v>346</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129</v>
      </c>
      <c r="B4884" t="s">
        <v>309</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129</v>
      </c>
      <c r="B4885" t="s">
        <v>148</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129</v>
      </c>
      <c r="B4886" t="s">
        <v>173</v>
      </c>
      <c r="C4886">
        <v>0</v>
      </c>
      <c r="D4886">
        <v>2</v>
      </c>
      <c r="E4886">
        <v>1</v>
      </c>
      <c r="F4886">
        <v>214</v>
      </c>
      <c r="G4886">
        <v>217</v>
      </c>
      <c r="H4886">
        <v>1</v>
      </c>
      <c r="I4886">
        <v>2</v>
      </c>
      <c r="J4886">
        <v>8.9972904061745101E-2</v>
      </c>
      <c r="L4886">
        <v>-6.5624935913179798E-3</v>
      </c>
      <c r="M4886">
        <v>1</v>
      </c>
      <c r="O4886">
        <v>-6.5624935913179798E-3</v>
      </c>
    </row>
    <row r="4887" spans="1:15" hidden="1" x14ac:dyDescent="0.3">
      <c r="A4887" t="s">
        <v>129</v>
      </c>
      <c r="B4887" t="s">
        <v>217</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129</v>
      </c>
      <c r="B4888" t="s">
        <v>348</v>
      </c>
      <c r="C4888">
        <v>0</v>
      </c>
      <c r="D4888">
        <v>1</v>
      </c>
      <c r="E4888">
        <v>1</v>
      </c>
      <c r="F4888">
        <v>215</v>
      </c>
      <c r="G4888">
        <v>217</v>
      </c>
      <c r="H4888">
        <v>1</v>
      </c>
      <c r="I4888">
        <v>1</v>
      </c>
      <c r="J4888">
        <v>6.4493014968382195E-2</v>
      </c>
      <c r="L4888">
        <v>-4.6296296296296198E-3</v>
      </c>
      <c r="M4888">
        <v>1</v>
      </c>
      <c r="O4888">
        <v>-4.6296296296296198E-3</v>
      </c>
    </row>
    <row r="4889" spans="1:15" hidden="1" x14ac:dyDescent="0.3">
      <c r="A4889" t="s">
        <v>129</v>
      </c>
      <c r="B4889" t="s">
        <v>222</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129</v>
      </c>
      <c r="B4890" t="s">
        <v>269</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129</v>
      </c>
      <c r="B4891" t="s">
        <v>349</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129</v>
      </c>
      <c r="B4892" t="s">
        <v>274</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129</v>
      </c>
      <c r="B4893" t="s">
        <v>316</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129</v>
      </c>
      <c r="B4894" t="s">
        <v>350</v>
      </c>
      <c r="C4894">
        <v>0</v>
      </c>
      <c r="D4894">
        <v>1</v>
      </c>
      <c r="E4894">
        <v>1</v>
      </c>
      <c r="F4894">
        <v>215</v>
      </c>
      <c r="G4894">
        <v>217</v>
      </c>
      <c r="H4894">
        <v>1</v>
      </c>
      <c r="I4894">
        <v>1</v>
      </c>
      <c r="J4894">
        <v>6.4493014968382195E-2</v>
      </c>
      <c r="L4894">
        <v>-4.6296296296296198E-3</v>
      </c>
      <c r="M4894">
        <v>1</v>
      </c>
      <c r="O4894">
        <v>-4.6296296296296198E-3</v>
      </c>
    </row>
    <row r="4895" spans="1:15" hidden="1" x14ac:dyDescent="0.3">
      <c r="A4895" t="s">
        <v>129</v>
      </c>
      <c r="B4895" t="s">
        <v>218</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129</v>
      </c>
      <c r="B4896" t="s">
        <v>261</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129</v>
      </c>
      <c r="B4897" t="s">
        <v>277</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129</v>
      </c>
      <c r="B4898" t="s">
        <v>251</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129</v>
      </c>
      <c r="B4899" t="s">
        <v>259</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129</v>
      </c>
      <c r="B4900" t="s">
        <v>329</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129</v>
      </c>
      <c r="B4901" t="s">
        <v>360</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129</v>
      </c>
      <c r="B4902" t="s">
        <v>358</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129</v>
      </c>
      <c r="B4903" t="s">
        <v>312</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129</v>
      </c>
      <c r="B4904" t="s">
        <v>361</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129</v>
      </c>
      <c r="B4905" t="s">
        <v>288</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129</v>
      </c>
      <c r="B4906" t="s">
        <v>306</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129</v>
      </c>
      <c r="B4907" t="s">
        <v>345</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129</v>
      </c>
      <c r="B4908" t="s">
        <v>338</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129</v>
      </c>
      <c r="B4909" t="s">
        <v>267</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129</v>
      </c>
      <c r="B4910" t="s">
        <v>194</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129</v>
      </c>
      <c r="B4911" t="s">
        <v>328</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129</v>
      </c>
      <c r="B4912" t="s">
        <v>293</v>
      </c>
      <c r="C4912">
        <v>0</v>
      </c>
      <c r="D4912">
        <v>2</v>
      </c>
      <c r="E4912">
        <v>1</v>
      </c>
      <c r="F4912">
        <v>214</v>
      </c>
      <c r="G4912">
        <v>217</v>
      </c>
      <c r="H4912">
        <v>1</v>
      </c>
      <c r="I4912">
        <v>2</v>
      </c>
      <c r="J4912">
        <v>8.9972904061745101E-2</v>
      </c>
      <c r="L4912">
        <v>-6.5624935913179798E-3</v>
      </c>
      <c r="M4912">
        <v>1</v>
      </c>
      <c r="O4912">
        <v>-6.5624935913179798E-3</v>
      </c>
    </row>
    <row r="4913" spans="1:15" hidden="1" x14ac:dyDescent="0.3">
      <c r="A4913" t="s">
        <v>129</v>
      </c>
      <c r="B4913" t="s">
        <v>216</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129</v>
      </c>
      <c r="B4914" t="s">
        <v>297</v>
      </c>
      <c r="C4914">
        <v>0</v>
      </c>
      <c r="D4914">
        <v>1</v>
      </c>
      <c r="E4914">
        <v>1</v>
      </c>
      <c r="F4914">
        <v>215</v>
      </c>
      <c r="G4914">
        <v>217</v>
      </c>
      <c r="H4914">
        <v>1</v>
      </c>
      <c r="I4914">
        <v>1</v>
      </c>
      <c r="J4914">
        <v>6.4493014968382195E-2</v>
      </c>
      <c r="L4914">
        <v>-4.6296296296296198E-3</v>
      </c>
      <c r="M4914">
        <v>1</v>
      </c>
      <c r="O4914">
        <v>-4.6296296296296198E-3</v>
      </c>
    </row>
    <row r="4915" spans="1:15" hidden="1" x14ac:dyDescent="0.3">
      <c r="A4915" t="s">
        <v>129</v>
      </c>
      <c r="B4915" t="s">
        <v>264</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129</v>
      </c>
      <c r="B4916" t="s">
        <v>359</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129</v>
      </c>
      <c r="B4917" t="s">
        <v>313</v>
      </c>
      <c r="C4917">
        <v>0</v>
      </c>
      <c r="D4917">
        <v>1</v>
      </c>
      <c r="E4917">
        <v>1</v>
      </c>
      <c r="F4917">
        <v>215</v>
      </c>
      <c r="G4917">
        <v>217</v>
      </c>
      <c r="H4917">
        <v>1</v>
      </c>
      <c r="I4917">
        <v>1</v>
      </c>
      <c r="J4917">
        <v>6.4493014968382195E-2</v>
      </c>
      <c r="L4917">
        <v>-4.6296296296296198E-3</v>
      </c>
      <c r="M4917">
        <v>1</v>
      </c>
      <c r="O4917">
        <v>-4.6296296296296198E-3</v>
      </c>
    </row>
    <row r="4918" spans="1:15" hidden="1" x14ac:dyDescent="0.3">
      <c r="A4918" t="s">
        <v>129</v>
      </c>
      <c r="B4918" t="s">
        <v>331</v>
      </c>
      <c r="C4918">
        <v>0</v>
      </c>
      <c r="D4918">
        <v>2</v>
      </c>
      <c r="E4918">
        <v>1</v>
      </c>
      <c r="F4918">
        <v>214</v>
      </c>
      <c r="G4918">
        <v>217</v>
      </c>
      <c r="H4918">
        <v>1</v>
      </c>
      <c r="I4918">
        <v>2</v>
      </c>
      <c r="J4918">
        <v>8.9972904061745101E-2</v>
      </c>
      <c r="L4918">
        <v>-6.5624935913179798E-3</v>
      </c>
      <c r="M4918">
        <v>1</v>
      </c>
      <c r="O4918">
        <v>-6.5624935913179798E-3</v>
      </c>
    </row>
    <row r="4919" spans="1:15" hidden="1" x14ac:dyDescent="0.3">
      <c r="A4919" t="s">
        <v>129</v>
      </c>
      <c r="B4919" t="s">
        <v>285</v>
      </c>
      <c r="C4919">
        <v>0</v>
      </c>
      <c r="D4919">
        <v>1</v>
      </c>
      <c r="E4919">
        <v>1</v>
      </c>
      <c r="F4919">
        <v>215</v>
      </c>
      <c r="G4919">
        <v>217</v>
      </c>
      <c r="H4919">
        <v>1</v>
      </c>
      <c r="I4919">
        <v>1</v>
      </c>
      <c r="J4919">
        <v>6.4493014968382195E-2</v>
      </c>
      <c r="L4919">
        <v>-4.6296296296296198E-3</v>
      </c>
      <c r="M4919">
        <v>1</v>
      </c>
      <c r="O4919">
        <v>-4.6296296296296198E-3</v>
      </c>
    </row>
    <row r="4920" spans="1:15" x14ac:dyDescent="0.3">
      <c r="A4920" t="s">
        <v>129</v>
      </c>
      <c r="B4920" t="s">
        <v>152</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129</v>
      </c>
      <c r="B4921" t="s">
        <v>311</v>
      </c>
      <c r="C4921">
        <v>0</v>
      </c>
      <c r="D4921">
        <v>1</v>
      </c>
      <c r="E4921">
        <v>1</v>
      </c>
      <c r="F4921">
        <v>215</v>
      </c>
      <c r="G4921">
        <v>217</v>
      </c>
      <c r="H4921">
        <v>1</v>
      </c>
      <c r="I4921">
        <v>1</v>
      </c>
      <c r="J4921">
        <v>6.4493014968382195E-2</v>
      </c>
      <c r="L4921">
        <v>-4.6296296296296198E-3</v>
      </c>
      <c r="M4921">
        <v>1</v>
      </c>
      <c r="O4921">
        <v>-4.6296296296296198E-3</v>
      </c>
    </row>
    <row r="4922" spans="1:15" hidden="1" x14ac:dyDescent="0.3">
      <c r="A4922" t="s">
        <v>129</v>
      </c>
      <c r="B4922" t="s">
        <v>213</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129</v>
      </c>
      <c r="B4923" t="s">
        <v>330</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129</v>
      </c>
      <c r="B4924" t="s">
        <v>252</v>
      </c>
      <c r="C4924">
        <v>0</v>
      </c>
      <c r="D4924">
        <v>3</v>
      </c>
      <c r="E4924">
        <v>1</v>
      </c>
      <c r="F4924">
        <v>213</v>
      </c>
      <c r="G4924">
        <v>217</v>
      </c>
      <c r="H4924">
        <v>1</v>
      </c>
      <c r="I4924">
        <v>3</v>
      </c>
      <c r="J4924">
        <v>0.109052747711589</v>
      </c>
      <c r="L4924">
        <v>-8.0561374087138593E-3</v>
      </c>
      <c r="M4924">
        <v>1</v>
      </c>
      <c r="O4924">
        <v>-8.0561374087138593E-3</v>
      </c>
    </row>
    <row r="4925" spans="1:15" x14ac:dyDescent="0.3">
      <c r="A4925" t="s">
        <v>129</v>
      </c>
      <c r="B4925" t="s">
        <v>170</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129</v>
      </c>
      <c r="B4926" t="s">
        <v>281</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129</v>
      </c>
      <c r="B4927" t="s">
        <v>324</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129</v>
      </c>
      <c r="B4928" t="s">
        <v>278</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129</v>
      </c>
      <c r="B4929" t="s">
        <v>292</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129</v>
      </c>
      <c r="B4930" t="s">
        <v>172</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129</v>
      </c>
      <c r="B4931" t="s">
        <v>323</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129</v>
      </c>
      <c r="B4932" t="s">
        <v>326</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129</v>
      </c>
      <c r="B4933" t="s">
        <v>325</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129</v>
      </c>
      <c r="B4934" t="s">
        <v>256</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129</v>
      </c>
      <c r="B4935" t="s">
        <v>243</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129</v>
      </c>
      <c r="B4936" t="s">
        <v>327</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129</v>
      </c>
      <c r="B4937" t="s">
        <v>174</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129</v>
      </c>
      <c r="B4938" t="s">
        <v>260</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129</v>
      </c>
      <c r="B4939" t="s">
        <v>280</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129</v>
      </c>
      <c r="B4940" t="s">
        <v>318</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129</v>
      </c>
      <c r="B4941" t="s">
        <v>244</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129</v>
      </c>
      <c r="B4942" t="s">
        <v>336</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129</v>
      </c>
      <c r="B4943" t="s">
        <v>304</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129</v>
      </c>
      <c r="B4944" t="s">
        <v>270</v>
      </c>
      <c r="C4944">
        <v>0</v>
      </c>
      <c r="D4944">
        <v>3</v>
      </c>
      <c r="E4944">
        <v>1</v>
      </c>
      <c r="F4944">
        <v>213</v>
      </c>
      <c r="G4944">
        <v>217</v>
      </c>
      <c r="H4944">
        <v>1</v>
      </c>
      <c r="I4944">
        <v>3</v>
      </c>
      <c r="J4944">
        <v>0.109052747711589</v>
      </c>
      <c r="L4944">
        <v>-8.0561374087138593E-3</v>
      </c>
      <c r="M4944">
        <v>1</v>
      </c>
      <c r="O4944">
        <v>-8.0561374087138593E-3</v>
      </c>
    </row>
    <row r="4945" spans="1:15" x14ac:dyDescent="0.3">
      <c r="A4945" t="s">
        <v>129</v>
      </c>
      <c r="B4945" t="s">
        <v>257</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129</v>
      </c>
      <c r="B4946" t="s">
        <v>307</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129</v>
      </c>
      <c r="B4947" t="s">
        <v>286</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129</v>
      </c>
      <c r="B4948" t="s">
        <v>198</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129</v>
      </c>
      <c r="B4949" t="s">
        <v>289</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129</v>
      </c>
      <c r="B4950" t="s">
        <v>282</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129</v>
      </c>
      <c r="B4951" t="s">
        <v>291</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130</v>
      </c>
      <c r="B4952" t="s">
        <v>3</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130</v>
      </c>
      <c r="B4953" t="s">
        <v>1</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130</v>
      </c>
      <c r="B4954" t="s">
        <v>314</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130</v>
      </c>
      <c r="B4955" t="s">
        <v>357</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130</v>
      </c>
      <c r="B4956" t="s">
        <v>356</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130</v>
      </c>
      <c r="B4957" t="s">
        <v>273</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130</v>
      </c>
      <c r="B4958" t="s">
        <v>242</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130</v>
      </c>
      <c r="B4959" t="s">
        <v>332</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130</v>
      </c>
      <c r="B4960" t="s">
        <v>355</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130</v>
      </c>
      <c r="B4961" t="s">
        <v>335</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130</v>
      </c>
      <c r="B4962" t="s">
        <v>266</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130</v>
      </c>
      <c r="B4963" t="s">
        <v>272</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130</v>
      </c>
      <c r="B4964" t="s">
        <v>310</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130</v>
      </c>
      <c r="B4965" t="s">
        <v>317</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130</v>
      </c>
      <c r="B4966" t="s">
        <v>9</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130</v>
      </c>
      <c r="B4967" t="s">
        <v>362</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130</v>
      </c>
      <c r="B4968" t="s">
        <v>354</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130</v>
      </c>
      <c r="B4969" t="s">
        <v>353</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130</v>
      </c>
      <c r="B4970" t="s">
        <v>363</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130</v>
      </c>
      <c r="B4971" t="s">
        <v>305</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130</v>
      </c>
      <c r="B4972" t="s">
        <v>339</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130</v>
      </c>
      <c r="B4973" t="s">
        <v>248</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130</v>
      </c>
      <c r="B4974" t="s">
        <v>342</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130</v>
      </c>
      <c r="B4975" t="s">
        <v>315</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130</v>
      </c>
      <c r="B4976" t="s">
        <v>247</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130</v>
      </c>
      <c r="B4977" t="s">
        <v>241</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130</v>
      </c>
      <c r="B4978" t="s">
        <v>334</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130</v>
      </c>
      <c r="B4979" t="s">
        <v>300</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130</v>
      </c>
      <c r="B4980" t="s">
        <v>265</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130</v>
      </c>
      <c r="B4981" t="s">
        <v>271</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130</v>
      </c>
      <c r="B4982" t="s">
        <v>255</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130</v>
      </c>
      <c r="B4983" t="s">
        <v>296</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130</v>
      </c>
      <c r="B4984" t="s">
        <v>249</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130</v>
      </c>
      <c r="B4985" t="s">
        <v>308</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130</v>
      </c>
      <c r="B4986" t="s">
        <v>319</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130</v>
      </c>
      <c r="B4987" t="s">
        <v>245</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130</v>
      </c>
      <c r="B4988" t="s">
        <v>240</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130</v>
      </c>
      <c r="B4989" t="s">
        <v>343</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130</v>
      </c>
      <c r="B4990" t="s">
        <v>258</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130</v>
      </c>
      <c r="B4991" t="s">
        <v>344</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130</v>
      </c>
      <c r="B4992" t="s">
        <v>276</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130</v>
      </c>
      <c r="B4993" t="s">
        <v>333</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130</v>
      </c>
      <c r="B4994" t="s">
        <v>263</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130</v>
      </c>
      <c r="B4995" t="s">
        <v>254</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130</v>
      </c>
      <c r="B4996" t="s">
        <v>320</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130</v>
      </c>
      <c r="B4997" t="s">
        <v>275</v>
      </c>
      <c r="C4997">
        <v>0</v>
      </c>
      <c r="D4997">
        <v>11</v>
      </c>
      <c r="E4997">
        <v>1</v>
      </c>
      <c r="F4997">
        <v>205</v>
      </c>
      <c r="G4997">
        <v>217</v>
      </c>
      <c r="H4997">
        <v>1</v>
      </c>
      <c r="I4997">
        <v>11</v>
      </c>
      <c r="J4997">
        <v>0.19837015644199599</v>
      </c>
      <c r="L4997">
        <v>-1.5723016016341299E-2</v>
      </c>
      <c r="M4997">
        <v>1</v>
      </c>
      <c r="O4997">
        <v>-1.5723016016341299E-2</v>
      </c>
    </row>
    <row r="4998" spans="1:15" hidden="1" x14ac:dyDescent="0.3">
      <c r="A4998" t="s">
        <v>130</v>
      </c>
      <c r="B4998" t="s">
        <v>221</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130</v>
      </c>
      <c r="B4999" t="s">
        <v>322</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130</v>
      </c>
      <c r="B5000" t="s">
        <v>303</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130</v>
      </c>
      <c r="B5001" t="s">
        <v>302</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130</v>
      </c>
      <c r="B5002" t="s">
        <v>147</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130</v>
      </c>
      <c r="B5003" t="s">
        <v>284</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130</v>
      </c>
      <c r="B5004" t="s">
        <v>299</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130</v>
      </c>
      <c r="B5005" t="s">
        <v>301</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130</v>
      </c>
      <c r="B5006" t="s">
        <v>268</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130</v>
      </c>
      <c r="B5007" t="s">
        <v>290</v>
      </c>
      <c r="C5007">
        <v>0</v>
      </c>
      <c r="D5007">
        <v>1</v>
      </c>
      <c r="E5007">
        <v>1</v>
      </c>
      <c r="F5007">
        <v>215</v>
      </c>
      <c r="G5007">
        <v>217</v>
      </c>
      <c r="H5007">
        <v>1</v>
      </c>
      <c r="I5007">
        <v>1</v>
      </c>
      <c r="J5007">
        <v>6.4493014968382195E-2</v>
      </c>
      <c r="L5007">
        <v>-4.6296296296296198E-3</v>
      </c>
      <c r="M5007">
        <v>1</v>
      </c>
      <c r="O5007">
        <v>-4.6296296296296198E-3</v>
      </c>
    </row>
    <row r="5008" spans="1:15" hidden="1" x14ac:dyDescent="0.3">
      <c r="A5008" t="s">
        <v>130</v>
      </c>
      <c r="B5008" t="s">
        <v>351</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130</v>
      </c>
      <c r="B5009" t="s">
        <v>337</v>
      </c>
      <c r="C5009">
        <v>0</v>
      </c>
      <c r="D5009">
        <v>3</v>
      </c>
      <c r="E5009">
        <v>1</v>
      </c>
      <c r="F5009">
        <v>213</v>
      </c>
      <c r="G5009">
        <v>217</v>
      </c>
      <c r="H5009">
        <v>1</v>
      </c>
      <c r="I5009">
        <v>3</v>
      </c>
      <c r="J5009">
        <v>0.109052747711589</v>
      </c>
      <c r="L5009">
        <v>-8.0561374087138593E-3</v>
      </c>
      <c r="M5009">
        <v>1</v>
      </c>
      <c r="O5009">
        <v>-8.0561374087138593E-3</v>
      </c>
    </row>
    <row r="5010" spans="1:15" hidden="1" x14ac:dyDescent="0.3">
      <c r="A5010" t="s">
        <v>130</v>
      </c>
      <c r="B5010" t="s">
        <v>212</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130</v>
      </c>
      <c r="B5011" t="s">
        <v>250</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130</v>
      </c>
      <c r="B5012" t="s">
        <v>246</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130</v>
      </c>
      <c r="B5013" t="s">
        <v>347</v>
      </c>
      <c r="C5013">
        <v>0</v>
      </c>
      <c r="D5013">
        <v>1</v>
      </c>
      <c r="E5013">
        <v>1</v>
      </c>
      <c r="F5013">
        <v>215</v>
      </c>
      <c r="G5013">
        <v>217</v>
      </c>
      <c r="H5013">
        <v>1</v>
      </c>
      <c r="I5013">
        <v>1</v>
      </c>
      <c r="J5013">
        <v>6.4493014968382195E-2</v>
      </c>
      <c r="L5013">
        <v>-4.6296296296296198E-3</v>
      </c>
      <c r="M5013">
        <v>1</v>
      </c>
      <c r="O5013">
        <v>-4.6296296296296198E-3</v>
      </c>
    </row>
    <row r="5014" spans="1:15" hidden="1" x14ac:dyDescent="0.3">
      <c r="A5014" t="s">
        <v>130</v>
      </c>
      <c r="B5014" t="s">
        <v>153</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130</v>
      </c>
      <c r="B5015" t="s">
        <v>283</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130</v>
      </c>
      <c r="B5016" t="s">
        <v>5</v>
      </c>
      <c r="C5016">
        <v>0</v>
      </c>
      <c r="D5016">
        <v>3</v>
      </c>
      <c r="E5016">
        <v>1</v>
      </c>
      <c r="F5016">
        <v>213</v>
      </c>
      <c r="G5016">
        <v>217</v>
      </c>
      <c r="H5016">
        <v>1</v>
      </c>
      <c r="I5016">
        <v>3</v>
      </c>
      <c r="J5016">
        <v>0.109052747711589</v>
      </c>
      <c r="L5016">
        <v>-8.0561374087138593E-3</v>
      </c>
      <c r="M5016">
        <v>1</v>
      </c>
      <c r="O5016">
        <v>-8.0561374087138593E-3</v>
      </c>
    </row>
    <row r="5017" spans="1:15" hidden="1" x14ac:dyDescent="0.3">
      <c r="A5017" t="s">
        <v>130</v>
      </c>
      <c r="B5017" t="s">
        <v>219</v>
      </c>
      <c r="C5017">
        <v>0</v>
      </c>
      <c r="D5017">
        <v>4</v>
      </c>
      <c r="E5017">
        <v>1</v>
      </c>
      <c r="F5017">
        <v>212</v>
      </c>
      <c r="G5017">
        <v>217</v>
      </c>
      <c r="H5017">
        <v>1</v>
      </c>
      <c r="I5017">
        <v>4</v>
      </c>
      <c r="J5017">
        <v>0.124826680957052</v>
      </c>
      <c r="L5017">
        <v>-9.3242373144076501E-3</v>
      </c>
      <c r="M5017">
        <v>1</v>
      </c>
      <c r="O5017">
        <v>-9.3242373144076501E-3</v>
      </c>
    </row>
    <row r="5018" spans="1:15" hidden="1" x14ac:dyDescent="0.3">
      <c r="A5018" t="s">
        <v>130</v>
      </c>
      <c r="B5018" t="s">
        <v>220</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130</v>
      </c>
      <c r="B5019" t="s">
        <v>201</v>
      </c>
      <c r="C5019">
        <v>0</v>
      </c>
      <c r="D5019">
        <v>4</v>
      </c>
      <c r="E5019">
        <v>1</v>
      </c>
      <c r="F5019">
        <v>212</v>
      </c>
      <c r="G5019">
        <v>217</v>
      </c>
      <c r="H5019">
        <v>1</v>
      </c>
      <c r="I5019">
        <v>4</v>
      </c>
      <c r="J5019">
        <v>0.124826680957052</v>
      </c>
      <c r="L5019">
        <v>-9.3242373144076501E-3</v>
      </c>
      <c r="M5019">
        <v>1</v>
      </c>
      <c r="O5019">
        <v>-9.3242373144076501E-3</v>
      </c>
    </row>
    <row r="5020" spans="1:15" hidden="1" x14ac:dyDescent="0.3">
      <c r="A5020" t="s">
        <v>130</v>
      </c>
      <c r="B5020" t="s">
        <v>279</v>
      </c>
      <c r="C5020">
        <v>1</v>
      </c>
      <c r="D5020">
        <v>0</v>
      </c>
      <c r="E5020">
        <v>0</v>
      </c>
      <c r="F5020">
        <v>216</v>
      </c>
      <c r="G5020">
        <v>217</v>
      </c>
      <c r="H5020">
        <v>1</v>
      </c>
      <c r="I5020">
        <v>1</v>
      </c>
      <c r="J5020">
        <v>6.4493014968382195E-2</v>
      </c>
      <c r="L5020">
        <v>1</v>
      </c>
      <c r="M5020">
        <v>4.60829493087557E-3</v>
      </c>
      <c r="O5020">
        <v>1</v>
      </c>
    </row>
    <row r="5021" spans="1:15" hidden="1" x14ac:dyDescent="0.3">
      <c r="A5021" t="s">
        <v>130</v>
      </c>
      <c r="B5021" t="s">
        <v>262</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130</v>
      </c>
      <c r="B5022" t="s">
        <v>321</v>
      </c>
      <c r="C5022">
        <v>0</v>
      </c>
      <c r="D5022">
        <v>1</v>
      </c>
      <c r="E5022">
        <v>1</v>
      </c>
      <c r="F5022">
        <v>215</v>
      </c>
      <c r="G5022">
        <v>217</v>
      </c>
      <c r="H5022">
        <v>1</v>
      </c>
      <c r="I5022">
        <v>1</v>
      </c>
      <c r="J5022">
        <v>6.4493014968382195E-2</v>
      </c>
      <c r="L5022">
        <v>-4.6296296296296198E-3</v>
      </c>
      <c r="M5022">
        <v>1</v>
      </c>
      <c r="O5022">
        <v>-4.6296296296296198E-3</v>
      </c>
    </row>
    <row r="5023" spans="1:15" hidden="1" x14ac:dyDescent="0.3">
      <c r="A5023" t="s">
        <v>130</v>
      </c>
      <c r="B5023" t="s">
        <v>215</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130</v>
      </c>
      <c r="B5024" t="s">
        <v>253</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130</v>
      </c>
      <c r="B5025" t="s">
        <v>341</v>
      </c>
      <c r="C5025">
        <v>0</v>
      </c>
      <c r="D5025">
        <v>1</v>
      </c>
      <c r="E5025">
        <v>1</v>
      </c>
      <c r="F5025">
        <v>215</v>
      </c>
      <c r="G5025">
        <v>217</v>
      </c>
      <c r="H5025">
        <v>1</v>
      </c>
      <c r="I5025">
        <v>1</v>
      </c>
      <c r="J5025">
        <v>6.4493014968382195E-2</v>
      </c>
      <c r="L5025">
        <v>-4.6296296296296198E-3</v>
      </c>
      <c r="M5025">
        <v>1</v>
      </c>
      <c r="O5025">
        <v>-4.6296296296296198E-3</v>
      </c>
    </row>
    <row r="5026" spans="1:15" hidden="1" x14ac:dyDescent="0.3">
      <c r="A5026" t="s">
        <v>130</v>
      </c>
      <c r="B5026" t="s">
        <v>214</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130</v>
      </c>
      <c r="B5027" t="s">
        <v>168</v>
      </c>
      <c r="C5027">
        <v>0</v>
      </c>
      <c r="D5027">
        <v>5</v>
      </c>
      <c r="E5027">
        <v>1</v>
      </c>
      <c r="F5027">
        <v>211</v>
      </c>
      <c r="G5027">
        <v>217</v>
      </c>
      <c r="H5027">
        <v>1</v>
      </c>
      <c r="I5027">
        <v>5</v>
      </c>
      <c r="J5027">
        <v>0.138492225345964</v>
      </c>
      <c r="L5027">
        <v>-1.0449372136989901E-2</v>
      </c>
      <c r="M5027">
        <v>1</v>
      </c>
      <c r="O5027">
        <v>-1.0449372136989901E-2</v>
      </c>
    </row>
    <row r="5028" spans="1:15" hidden="1" x14ac:dyDescent="0.3">
      <c r="A5028" t="s">
        <v>130</v>
      </c>
      <c r="B5028" t="s">
        <v>352</v>
      </c>
      <c r="C5028">
        <v>0</v>
      </c>
      <c r="D5028">
        <v>1</v>
      </c>
      <c r="E5028">
        <v>1</v>
      </c>
      <c r="F5028">
        <v>215</v>
      </c>
      <c r="G5028">
        <v>217</v>
      </c>
      <c r="H5028">
        <v>1</v>
      </c>
      <c r="I5028">
        <v>1</v>
      </c>
      <c r="J5028">
        <v>6.4493014968382195E-2</v>
      </c>
      <c r="L5028">
        <v>-4.6296296296296198E-3</v>
      </c>
      <c r="M5028">
        <v>1</v>
      </c>
      <c r="O5028">
        <v>-4.6296296296296198E-3</v>
      </c>
    </row>
    <row r="5029" spans="1:15" x14ac:dyDescent="0.3">
      <c r="A5029" t="s">
        <v>130</v>
      </c>
      <c r="B5029" t="s">
        <v>169</v>
      </c>
      <c r="C5029">
        <v>0</v>
      </c>
      <c r="D5029">
        <v>2</v>
      </c>
      <c r="E5029">
        <v>1</v>
      </c>
      <c r="F5029">
        <v>214</v>
      </c>
      <c r="G5029">
        <v>217</v>
      </c>
      <c r="H5029">
        <v>1</v>
      </c>
      <c r="I5029">
        <v>2</v>
      </c>
      <c r="J5029">
        <v>8.9972904061745101E-2</v>
      </c>
      <c r="L5029">
        <v>-6.5624935913179798E-3</v>
      </c>
      <c r="M5029">
        <v>1</v>
      </c>
      <c r="O5029">
        <v>-6.5624935913179798E-3</v>
      </c>
    </row>
    <row r="5030" spans="1:15" x14ac:dyDescent="0.3">
      <c r="A5030" t="s">
        <v>130</v>
      </c>
      <c r="B5030" t="s">
        <v>175</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130</v>
      </c>
      <c r="B5031" t="s">
        <v>340</v>
      </c>
      <c r="C5031">
        <v>0</v>
      </c>
      <c r="D5031">
        <v>1</v>
      </c>
      <c r="E5031">
        <v>1</v>
      </c>
      <c r="F5031">
        <v>215</v>
      </c>
      <c r="G5031">
        <v>217</v>
      </c>
      <c r="H5031">
        <v>1</v>
      </c>
      <c r="I5031">
        <v>1</v>
      </c>
      <c r="J5031">
        <v>6.4493014968382195E-2</v>
      </c>
      <c r="L5031">
        <v>-4.6296296296296198E-3</v>
      </c>
      <c r="M5031">
        <v>1</v>
      </c>
      <c r="O5031">
        <v>-4.6296296296296198E-3</v>
      </c>
    </row>
    <row r="5032" spans="1:15" hidden="1" x14ac:dyDescent="0.3">
      <c r="A5032" t="s">
        <v>130</v>
      </c>
      <c r="B5032" t="s">
        <v>190</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130</v>
      </c>
      <c r="B5033" t="s">
        <v>346</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130</v>
      </c>
      <c r="B5034" t="s">
        <v>309</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130</v>
      </c>
      <c r="B5035" t="s">
        <v>148</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130</v>
      </c>
      <c r="B5036" t="s">
        <v>173</v>
      </c>
      <c r="C5036">
        <v>0</v>
      </c>
      <c r="D5036">
        <v>2</v>
      </c>
      <c r="E5036">
        <v>1</v>
      </c>
      <c r="F5036">
        <v>214</v>
      </c>
      <c r="G5036">
        <v>217</v>
      </c>
      <c r="H5036">
        <v>1</v>
      </c>
      <c r="I5036">
        <v>2</v>
      </c>
      <c r="J5036">
        <v>8.9972904061745101E-2</v>
      </c>
      <c r="L5036">
        <v>-6.5624935913179798E-3</v>
      </c>
      <c r="M5036">
        <v>1</v>
      </c>
      <c r="O5036">
        <v>-6.5624935913179798E-3</v>
      </c>
    </row>
    <row r="5037" spans="1:15" hidden="1" x14ac:dyDescent="0.3">
      <c r="A5037" t="s">
        <v>130</v>
      </c>
      <c r="B5037" t="s">
        <v>217</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130</v>
      </c>
      <c r="B5038" t="s">
        <v>348</v>
      </c>
      <c r="C5038">
        <v>0</v>
      </c>
      <c r="D5038">
        <v>1</v>
      </c>
      <c r="E5038">
        <v>1</v>
      </c>
      <c r="F5038">
        <v>215</v>
      </c>
      <c r="G5038">
        <v>217</v>
      </c>
      <c r="H5038">
        <v>1</v>
      </c>
      <c r="I5038">
        <v>1</v>
      </c>
      <c r="J5038">
        <v>6.4493014968382195E-2</v>
      </c>
      <c r="L5038">
        <v>-4.6296296296296198E-3</v>
      </c>
      <c r="M5038">
        <v>1</v>
      </c>
      <c r="O5038">
        <v>-4.6296296296296198E-3</v>
      </c>
    </row>
    <row r="5039" spans="1:15" hidden="1" x14ac:dyDescent="0.3">
      <c r="A5039" t="s">
        <v>130</v>
      </c>
      <c r="B5039" t="s">
        <v>222</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130</v>
      </c>
      <c r="B5040" t="s">
        <v>269</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130</v>
      </c>
      <c r="B5041" t="s">
        <v>349</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130</v>
      </c>
      <c r="B5042" t="s">
        <v>274</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130</v>
      </c>
      <c r="B5043" t="s">
        <v>316</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130</v>
      </c>
      <c r="B5044" t="s">
        <v>350</v>
      </c>
      <c r="C5044">
        <v>0</v>
      </c>
      <c r="D5044">
        <v>1</v>
      </c>
      <c r="E5044">
        <v>1</v>
      </c>
      <c r="F5044">
        <v>215</v>
      </c>
      <c r="G5044">
        <v>217</v>
      </c>
      <c r="H5044">
        <v>1</v>
      </c>
      <c r="I5044">
        <v>1</v>
      </c>
      <c r="J5044">
        <v>6.4493014968382195E-2</v>
      </c>
      <c r="L5044">
        <v>-4.6296296296296198E-3</v>
      </c>
      <c r="M5044">
        <v>1</v>
      </c>
      <c r="O5044">
        <v>-4.6296296296296198E-3</v>
      </c>
    </row>
    <row r="5045" spans="1:15" hidden="1" x14ac:dyDescent="0.3">
      <c r="A5045" t="s">
        <v>130</v>
      </c>
      <c r="B5045" t="s">
        <v>218</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130</v>
      </c>
      <c r="B5046" t="s">
        <v>261</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130</v>
      </c>
      <c r="B5047" t="s">
        <v>277</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130</v>
      </c>
      <c r="B5048" t="s">
        <v>251</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130</v>
      </c>
      <c r="B5049" t="s">
        <v>259</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130</v>
      </c>
      <c r="B5050" t="s">
        <v>329</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130</v>
      </c>
      <c r="B5051" t="s">
        <v>360</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130</v>
      </c>
      <c r="B5052" t="s">
        <v>358</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130</v>
      </c>
      <c r="B5053" t="s">
        <v>312</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130</v>
      </c>
      <c r="B5054" t="s">
        <v>361</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130</v>
      </c>
      <c r="B5055" t="s">
        <v>288</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130</v>
      </c>
      <c r="B5056" t="s">
        <v>306</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130</v>
      </c>
      <c r="B5057" t="s">
        <v>345</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130</v>
      </c>
      <c r="B5058" t="s">
        <v>338</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130</v>
      </c>
      <c r="B5059" t="s">
        <v>267</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130</v>
      </c>
      <c r="B5060" t="s">
        <v>194</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130</v>
      </c>
      <c r="B5061" t="s">
        <v>328</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130</v>
      </c>
      <c r="B5062" t="s">
        <v>293</v>
      </c>
      <c r="C5062">
        <v>0</v>
      </c>
      <c r="D5062">
        <v>2</v>
      </c>
      <c r="E5062">
        <v>1</v>
      </c>
      <c r="F5062">
        <v>214</v>
      </c>
      <c r="G5062">
        <v>217</v>
      </c>
      <c r="H5062">
        <v>1</v>
      </c>
      <c r="I5062">
        <v>2</v>
      </c>
      <c r="J5062">
        <v>8.9972904061745101E-2</v>
      </c>
      <c r="L5062">
        <v>-6.5624935913179798E-3</v>
      </c>
      <c r="M5062">
        <v>1</v>
      </c>
      <c r="O5062">
        <v>-6.5624935913179798E-3</v>
      </c>
    </row>
    <row r="5063" spans="1:15" hidden="1" x14ac:dyDescent="0.3">
      <c r="A5063" t="s">
        <v>130</v>
      </c>
      <c r="B5063" t="s">
        <v>216</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130</v>
      </c>
      <c r="B5064" t="s">
        <v>297</v>
      </c>
      <c r="C5064">
        <v>0</v>
      </c>
      <c r="D5064">
        <v>1</v>
      </c>
      <c r="E5064">
        <v>1</v>
      </c>
      <c r="F5064">
        <v>215</v>
      </c>
      <c r="G5064">
        <v>217</v>
      </c>
      <c r="H5064">
        <v>1</v>
      </c>
      <c r="I5064">
        <v>1</v>
      </c>
      <c r="J5064">
        <v>6.4493014968382195E-2</v>
      </c>
      <c r="L5064">
        <v>-4.6296296296296198E-3</v>
      </c>
      <c r="M5064">
        <v>1</v>
      </c>
      <c r="O5064">
        <v>-4.6296296296296198E-3</v>
      </c>
    </row>
    <row r="5065" spans="1:15" hidden="1" x14ac:dyDescent="0.3">
      <c r="A5065" t="s">
        <v>130</v>
      </c>
      <c r="B5065" t="s">
        <v>264</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130</v>
      </c>
      <c r="B5066" t="s">
        <v>359</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130</v>
      </c>
      <c r="B5067" t="s">
        <v>313</v>
      </c>
      <c r="C5067">
        <v>0</v>
      </c>
      <c r="D5067">
        <v>1</v>
      </c>
      <c r="E5067">
        <v>1</v>
      </c>
      <c r="F5067">
        <v>215</v>
      </c>
      <c r="G5067">
        <v>217</v>
      </c>
      <c r="H5067">
        <v>1</v>
      </c>
      <c r="I5067">
        <v>1</v>
      </c>
      <c r="J5067">
        <v>6.4493014968382195E-2</v>
      </c>
      <c r="L5067">
        <v>-4.6296296296296198E-3</v>
      </c>
      <c r="M5067">
        <v>1</v>
      </c>
      <c r="O5067">
        <v>-4.6296296296296198E-3</v>
      </c>
    </row>
    <row r="5068" spans="1:15" hidden="1" x14ac:dyDescent="0.3">
      <c r="A5068" t="s">
        <v>130</v>
      </c>
      <c r="B5068" t="s">
        <v>331</v>
      </c>
      <c r="C5068">
        <v>0</v>
      </c>
      <c r="D5068">
        <v>2</v>
      </c>
      <c r="E5068">
        <v>1</v>
      </c>
      <c r="F5068">
        <v>214</v>
      </c>
      <c r="G5068">
        <v>217</v>
      </c>
      <c r="H5068">
        <v>1</v>
      </c>
      <c r="I5068">
        <v>2</v>
      </c>
      <c r="J5068">
        <v>8.9972904061745101E-2</v>
      </c>
      <c r="L5068">
        <v>-6.5624935913179798E-3</v>
      </c>
      <c r="M5068">
        <v>1</v>
      </c>
      <c r="O5068">
        <v>-6.5624935913179798E-3</v>
      </c>
    </row>
    <row r="5069" spans="1:15" hidden="1" x14ac:dyDescent="0.3">
      <c r="A5069" t="s">
        <v>130</v>
      </c>
      <c r="B5069" t="s">
        <v>285</v>
      </c>
      <c r="C5069">
        <v>0</v>
      </c>
      <c r="D5069">
        <v>1</v>
      </c>
      <c r="E5069">
        <v>1</v>
      </c>
      <c r="F5069">
        <v>215</v>
      </c>
      <c r="G5069">
        <v>217</v>
      </c>
      <c r="H5069">
        <v>1</v>
      </c>
      <c r="I5069">
        <v>1</v>
      </c>
      <c r="J5069">
        <v>6.4493014968382195E-2</v>
      </c>
      <c r="L5069">
        <v>-4.6296296296296198E-3</v>
      </c>
      <c r="M5069">
        <v>1</v>
      </c>
      <c r="O5069">
        <v>-4.6296296296296198E-3</v>
      </c>
    </row>
    <row r="5070" spans="1:15" x14ac:dyDescent="0.3">
      <c r="A5070" t="s">
        <v>130</v>
      </c>
      <c r="B5070" t="s">
        <v>152</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130</v>
      </c>
      <c r="B5071" t="s">
        <v>311</v>
      </c>
      <c r="C5071">
        <v>0</v>
      </c>
      <c r="D5071">
        <v>1</v>
      </c>
      <c r="E5071">
        <v>1</v>
      </c>
      <c r="F5071">
        <v>215</v>
      </c>
      <c r="G5071">
        <v>217</v>
      </c>
      <c r="H5071">
        <v>1</v>
      </c>
      <c r="I5071">
        <v>1</v>
      </c>
      <c r="J5071">
        <v>6.4493014968382195E-2</v>
      </c>
      <c r="L5071">
        <v>-4.6296296296296198E-3</v>
      </c>
      <c r="M5071">
        <v>1</v>
      </c>
      <c r="O5071">
        <v>-4.6296296296296198E-3</v>
      </c>
    </row>
    <row r="5072" spans="1:15" hidden="1" x14ac:dyDescent="0.3">
      <c r="A5072" t="s">
        <v>130</v>
      </c>
      <c r="B5072" t="s">
        <v>213</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130</v>
      </c>
      <c r="B5073" t="s">
        <v>330</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130</v>
      </c>
      <c r="B5074" t="s">
        <v>252</v>
      </c>
      <c r="C5074">
        <v>0</v>
      </c>
      <c r="D5074">
        <v>3</v>
      </c>
      <c r="E5074">
        <v>1</v>
      </c>
      <c r="F5074">
        <v>213</v>
      </c>
      <c r="G5074">
        <v>217</v>
      </c>
      <c r="H5074">
        <v>1</v>
      </c>
      <c r="I5074">
        <v>3</v>
      </c>
      <c r="J5074">
        <v>0.109052747711589</v>
      </c>
      <c r="L5074">
        <v>-8.0561374087138593E-3</v>
      </c>
      <c r="M5074">
        <v>1</v>
      </c>
      <c r="O5074">
        <v>-8.0561374087138593E-3</v>
      </c>
    </row>
    <row r="5075" spans="1:15" x14ac:dyDescent="0.3">
      <c r="A5075" t="s">
        <v>130</v>
      </c>
      <c r="B5075" t="s">
        <v>170</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130</v>
      </c>
      <c r="B5076" t="s">
        <v>281</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130</v>
      </c>
      <c r="B5077" t="s">
        <v>324</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130</v>
      </c>
      <c r="B5078" t="s">
        <v>278</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130</v>
      </c>
      <c r="B5079" t="s">
        <v>292</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130</v>
      </c>
      <c r="B5080" t="s">
        <v>172</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130</v>
      </c>
      <c r="B5081" t="s">
        <v>323</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130</v>
      </c>
      <c r="B5082" t="s">
        <v>326</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130</v>
      </c>
      <c r="B5083" t="s">
        <v>325</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130</v>
      </c>
      <c r="B5084" t="s">
        <v>256</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130</v>
      </c>
      <c r="B5085" t="s">
        <v>243</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130</v>
      </c>
      <c r="B5086" t="s">
        <v>327</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130</v>
      </c>
      <c r="B5087" t="s">
        <v>174</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130</v>
      </c>
      <c r="B5088" t="s">
        <v>260</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130</v>
      </c>
      <c r="B5089" t="s">
        <v>280</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130</v>
      </c>
      <c r="B5090" t="s">
        <v>318</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130</v>
      </c>
      <c r="B5091" t="s">
        <v>244</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130</v>
      </c>
      <c r="B5092" t="s">
        <v>336</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130</v>
      </c>
      <c r="B5093" t="s">
        <v>304</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130</v>
      </c>
      <c r="B5094" t="s">
        <v>270</v>
      </c>
      <c r="C5094">
        <v>0</v>
      </c>
      <c r="D5094">
        <v>3</v>
      </c>
      <c r="E5094">
        <v>1</v>
      </c>
      <c r="F5094">
        <v>213</v>
      </c>
      <c r="G5094">
        <v>217</v>
      </c>
      <c r="H5094">
        <v>1</v>
      </c>
      <c r="I5094">
        <v>3</v>
      </c>
      <c r="J5094">
        <v>0.109052747711589</v>
      </c>
      <c r="L5094">
        <v>-8.0561374087138593E-3</v>
      </c>
      <c r="M5094">
        <v>1</v>
      </c>
      <c r="O5094">
        <v>-8.0561374087138593E-3</v>
      </c>
    </row>
    <row r="5095" spans="1:15" x14ac:dyDescent="0.3">
      <c r="A5095" t="s">
        <v>130</v>
      </c>
      <c r="B5095" t="s">
        <v>257</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130</v>
      </c>
      <c r="B5096" t="s">
        <v>307</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130</v>
      </c>
      <c r="B5097" t="s">
        <v>286</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130</v>
      </c>
      <c r="B5098" t="s">
        <v>198</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130</v>
      </c>
      <c r="B5099" t="s">
        <v>289</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130</v>
      </c>
      <c r="B5100" t="s">
        <v>282</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130</v>
      </c>
      <c r="B5101" t="s">
        <v>291</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Event-based processing"/>
        <filter val="Failure prevention or mitigation"/>
        <filter val="Frame rate reduction"/>
        <filter val="Input spatial partitioning"/>
        <filter val="Light communication protocol usage"/>
        <filter val="Single task assignment"/>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QualityAttributes</vt:lpstr>
      <vt:lpstr>Recommended Tactics (score0.06)</vt:lpstr>
      <vt:lpstr>Identified Tactics Interview</vt:lpstr>
      <vt:lpstr>Identified Tactics Source Code</vt:lpstr>
      <vt:lpstr>Metrics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2026-02-03T17:31:35Z</dcterms:modified>
</cp:coreProperties>
</file>